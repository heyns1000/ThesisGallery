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kobus.Tubb\Desktop\Personal Documents\Joyn Cofee\"/>
    </mc:Choice>
  </mc:AlternateContent>
  <xr:revisionPtr revIDLastSave="0" documentId="13_ncr:1_{FF6D534B-1CDA-466F-857B-AE41312761C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puts" sheetId="1" r:id="rId1"/>
    <sheet name="Coffee and food" sheetId="3" r:id="rId2"/>
    <sheet name="Projections" sheetId="2" r:id="rId3"/>
    <sheet name="Graphs" sheetId="4" r:id="rId4"/>
    <sheet name="Food Prices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B16" i="5" l="1"/>
  <c r="B17" i="5"/>
  <c r="B18" i="5"/>
  <c r="B19" i="5"/>
  <c r="B20" i="5"/>
  <c r="B21" i="5"/>
  <c r="B22" i="5"/>
  <c r="B23" i="5"/>
  <c r="B15" i="5"/>
  <c r="A15" i="5"/>
  <c r="A16" i="5"/>
  <c r="A17" i="5"/>
  <c r="A18" i="5"/>
  <c r="A19" i="5"/>
  <c r="A20" i="5"/>
  <c r="A21" i="5"/>
  <c r="A22" i="5"/>
  <c r="A23" i="5"/>
  <c r="A14" i="5"/>
  <c r="H12" i="5"/>
  <c r="E4" i="5"/>
  <c r="F4" i="5" s="1"/>
  <c r="E5" i="5"/>
  <c r="E6" i="5"/>
  <c r="F6" i="5" s="1"/>
  <c r="E7" i="5"/>
  <c r="E8" i="5"/>
  <c r="F8" i="5" s="1"/>
  <c r="E9" i="5"/>
  <c r="F9" i="5" s="1"/>
  <c r="E10" i="5"/>
  <c r="F10" i="5" s="1"/>
  <c r="E11" i="5"/>
  <c r="F11" i="5" s="1"/>
  <c r="E3" i="5"/>
  <c r="F3" i="5" s="1"/>
  <c r="F12" i="5" s="1"/>
  <c r="F5" i="5"/>
  <c r="F7" i="5"/>
  <c r="C4" i="5"/>
  <c r="D4" i="5" s="1"/>
  <c r="C5" i="5"/>
  <c r="D5" i="5"/>
  <c r="C6" i="5"/>
  <c r="D6" i="5" s="1"/>
  <c r="C7" i="5"/>
  <c r="D7" i="5"/>
  <c r="C8" i="5"/>
  <c r="D8" i="5"/>
  <c r="C9" i="5"/>
  <c r="D9" i="5"/>
  <c r="C10" i="5"/>
  <c r="D10" i="5"/>
  <c r="C11" i="5"/>
  <c r="D11" i="5"/>
  <c r="C3" i="5"/>
  <c r="D3" i="5" s="1"/>
  <c r="E36" i="1"/>
  <c r="E18" i="2"/>
  <c r="C25" i="3"/>
  <c r="C44" i="3"/>
  <c r="R24" i="3"/>
  <c r="Y24" i="3" s="1"/>
  <c r="AF24" i="3" s="1"/>
  <c r="AM24" i="3" s="1"/>
  <c r="AT24" i="3" s="1"/>
  <c r="BA24" i="3" s="1"/>
  <c r="BH24" i="3" s="1"/>
  <c r="BO24" i="3" s="1"/>
  <c r="BV24" i="3" s="1"/>
  <c r="CC24" i="3" s="1"/>
  <c r="CJ24" i="3" s="1"/>
  <c r="CQ24" i="3" s="1"/>
  <c r="CX24" i="3" s="1"/>
  <c r="DE24" i="3" s="1"/>
  <c r="DL24" i="3" s="1"/>
  <c r="DS24" i="3" s="1"/>
  <c r="DZ24" i="3" s="1"/>
  <c r="EG24" i="3" s="1"/>
  <c r="EN24" i="3" s="1"/>
  <c r="EU24" i="3" s="1"/>
  <c r="FB24" i="3" s="1"/>
  <c r="FI24" i="3" s="1"/>
  <c r="FP24" i="3" s="1"/>
  <c r="FW24" i="3" s="1"/>
  <c r="GD24" i="3" s="1"/>
  <c r="GK24" i="3" s="1"/>
  <c r="GR24" i="3" s="1"/>
  <c r="GY24" i="3" s="1"/>
  <c r="HF24" i="3" s="1"/>
  <c r="HM24" i="3" s="1"/>
  <c r="HT24" i="3" s="1"/>
  <c r="IA24" i="3" s="1"/>
  <c r="IH24" i="3" s="1"/>
  <c r="IO24" i="3" s="1"/>
  <c r="IV24" i="3" s="1"/>
  <c r="JC24" i="3" s="1"/>
  <c r="JJ24" i="3" s="1"/>
  <c r="JQ24" i="3" s="1"/>
  <c r="JX24" i="3" s="1"/>
  <c r="KE24" i="3" s="1"/>
  <c r="KL24" i="3" s="1"/>
  <c r="KS24" i="3" s="1"/>
  <c r="KZ24" i="3" s="1"/>
  <c r="LG24" i="3" s="1"/>
  <c r="LN24" i="3" s="1"/>
  <c r="LU24" i="3" s="1"/>
  <c r="MB24" i="3" s="1"/>
  <c r="MI24" i="3" s="1"/>
  <c r="MP24" i="3" s="1"/>
  <c r="MW24" i="3" s="1"/>
  <c r="ND24" i="3" s="1"/>
  <c r="NK24" i="3" s="1"/>
  <c r="NR24" i="3" s="1"/>
  <c r="NY24" i="3" s="1"/>
  <c r="OF24" i="3" s="1"/>
  <c r="OM24" i="3" s="1"/>
  <c r="OT24" i="3" s="1"/>
  <c r="PA24" i="3" s="1"/>
  <c r="PH24" i="3" s="1"/>
  <c r="PO24" i="3" s="1"/>
  <c r="PV24" i="3" s="1"/>
  <c r="QC24" i="3" s="1"/>
  <c r="QJ24" i="3" s="1"/>
  <c r="QQ24" i="3" s="1"/>
  <c r="QX24" i="3" s="1"/>
  <c r="RE24" i="3" s="1"/>
  <c r="RL24" i="3" s="1"/>
  <c r="RS24" i="3" s="1"/>
  <c r="RZ24" i="3" s="1"/>
  <c r="SG24" i="3" s="1"/>
  <c r="SN24" i="3" s="1"/>
  <c r="SU24" i="3" s="1"/>
  <c r="TB24" i="3" s="1"/>
  <c r="TI24" i="3" s="1"/>
  <c r="TP24" i="3" s="1"/>
  <c r="TW24" i="3" s="1"/>
  <c r="UD24" i="3" s="1"/>
  <c r="UK24" i="3" s="1"/>
  <c r="UR24" i="3" s="1"/>
  <c r="UY24" i="3" s="1"/>
  <c r="VF24" i="3" s="1"/>
  <c r="VM24" i="3" s="1"/>
  <c r="VT24" i="3" s="1"/>
  <c r="WA24" i="3" s="1"/>
  <c r="WH24" i="3" s="1"/>
  <c r="WO24" i="3" s="1"/>
  <c r="WV24" i="3" s="1"/>
  <c r="XC24" i="3" s="1"/>
  <c r="XJ24" i="3" s="1"/>
  <c r="XQ24" i="3" s="1"/>
  <c r="S24" i="3"/>
  <c r="T24" i="3"/>
  <c r="U24" i="3"/>
  <c r="AB24" i="3" s="1"/>
  <c r="AI24" i="3" s="1"/>
  <c r="AP24" i="3" s="1"/>
  <c r="AW24" i="3" s="1"/>
  <c r="BD24" i="3" s="1"/>
  <c r="BK24" i="3" s="1"/>
  <c r="BR24" i="3" s="1"/>
  <c r="BY24" i="3" s="1"/>
  <c r="CF24" i="3" s="1"/>
  <c r="CM24" i="3" s="1"/>
  <c r="CT24" i="3" s="1"/>
  <c r="DA24" i="3" s="1"/>
  <c r="DH24" i="3" s="1"/>
  <c r="DO24" i="3" s="1"/>
  <c r="DV24" i="3" s="1"/>
  <c r="EC24" i="3" s="1"/>
  <c r="EJ24" i="3" s="1"/>
  <c r="EQ24" i="3" s="1"/>
  <c r="EX24" i="3" s="1"/>
  <c r="FE24" i="3" s="1"/>
  <c r="FL24" i="3" s="1"/>
  <c r="FS24" i="3" s="1"/>
  <c r="FZ24" i="3" s="1"/>
  <c r="GG24" i="3" s="1"/>
  <c r="GN24" i="3" s="1"/>
  <c r="GU24" i="3" s="1"/>
  <c r="HB24" i="3" s="1"/>
  <c r="HI24" i="3" s="1"/>
  <c r="HP24" i="3" s="1"/>
  <c r="HW24" i="3" s="1"/>
  <c r="ID24" i="3" s="1"/>
  <c r="IK24" i="3" s="1"/>
  <c r="IR24" i="3" s="1"/>
  <c r="IY24" i="3" s="1"/>
  <c r="JF24" i="3" s="1"/>
  <c r="JM24" i="3" s="1"/>
  <c r="JT24" i="3" s="1"/>
  <c r="KA24" i="3" s="1"/>
  <c r="KH24" i="3" s="1"/>
  <c r="KO24" i="3" s="1"/>
  <c r="KV24" i="3" s="1"/>
  <c r="LC24" i="3" s="1"/>
  <c r="LJ24" i="3" s="1"/>
  <c r="LQ24" i="3" s="1"/>
  <c r="LX24" i="3" s="1"/>
  <c r="ME24" i="3" s="1"/>
  <c r="ML24" i="3" s="1"/>
  <c r="MS24" i="3" s="1"/>
  <c r="MZ24" i="3" s="1"/>
  <c r="NG24" i="3" s="1"/>
  <c r="NN24" i="3" s="1"/>
  <c r="NU24" i="3" s="1"/>
  <c r="OB24" i="3" s="1"/>
  <c r="OI24" i="3" s="1"/>
  <c r="OP24" i="3" s="1"/>
  <c r="OW24" i="3" s="1"/>
  <c r="PD24" i="3" s="1"/>
  <c r="PK24" i="3" s="1"/>
  <c r="PR24" i="3" s="1"/>
  <c r="PY24" i="3" s="1"/>
  <c r="QF24" i="3" s="1"/>
  <c r="QM24" i="3" s="1"/>
  <c r="QT24" i="3" s="1"/>
  <c r="RA24" i="3" s="1"/>
  <c r="RH24" i="3" s="1"/>
  <c r="RO24" i="3" s="1"/>
  <c r="RV24" i="3" s="1"/>
  <c r="SC24" i="3" s="1"/>
  <c r="SJ24" i="3" s="1"/>
  <c r="SQ24" i="3" s="1"/>
  <c r="SX24" i="3" s="1"/>
  <c r="TE24" i="3" s="1"/>
  <c r="TL24" i="3" s="1"/>
  <c r="TS24" i="3" s="1"/>
  <c r="TZ24" i="3" s="1"/>
  <c r="UG24" i="3" s="1"/>
  <c r="UN24" i="3" s="1"/>
  <c r="UU24" i="3" s="1"/>
  <c r="VB24" i="3" s="1"/>
  <c r="VI24" i="3" s="1"/>
  <c r="VP24" i="3" s="1"/>
  <c r="VW24" i="3" s="1"/>
  <c r="WD24" i="3" s="1"/>
  <c r="WK24" i="3" s="1"/>
  <c r="WR24" i="3" s="1"/>
  <c r="WY24" i="3" s="1"/>
  <c r="XF24" i="3" s="1"/>
  <c r="XM24" i="3" s="1"/>
  <c r="V24" i="3"/>
  <c r="AC24" i="3" s="1"/>
  <c r="AJ24" i="3" s="1"/>
  <c r="AQ24" i="3" s="1"/>
  <c r="AX24" i="3" s="1"/>
  <c r="BE24" i="3" s="1"/>
  <c r="BL24" i="3" s="1"/>
  <c r="BS24" i="3" s="1"/>
  <c r="BZ24" i="3" s="1"/>
  <c r="CG24" i="3" s="1"/>
  <c r="CN24" i="3" s="1"/>
  <c r="CU24" i="3" s="1"/>
  <c r="DB24" i="3" s="1"/>
  <c r="DI24" i="3" s="1"/>
  <c r="DP24" i="3" s="1"/>
  <c r="DW24" i="3" s="1"/>
  <c r="ED24" i="3" s="1"/>
  <c r="EK24" i="3" s="1"/>
  <c r="ER24" i="3" s="1"/>
  <c r="EY24" i="3" s="1"/>
  <c r="FF24" i="3" s="1"/>
  <c r="FM24" i="3" s="1"/>
  <c r="FT24" i="3" s="1"/>
  <c r="GA24" i="3" s="1"/>
  <c r="GH24" i="3" s="1"/>
  <c r="GO24" i="3" s="1"/>
  <c r="GV24" i="3" s="1"/>
  <c r="HC24" i="3" s="1"/>
  <c r="HJ24" i="3" s="1"/>
  <c r="HQ24" i="3" s="1"/>
  <c r="HX24" i="3" s="1"/>
  <c r="IE24" i="3" s="1"/>
  <c r="IL24" i="3" s="1"/>
  <c r="IS24" i="3" s="1"/>
  <c r="IZ24" i="3" s="1"/>
  <c r="JG24" i="3" s="1"/>
  <c r="JN24" i="3" s="1"/>
  <c r="JU24" i="3" s="1"/>
  <c r="KB24" i="3" s="1"/>
  <c r="KI24" i="3" s="1"/>
  <c r="KP24" i="3" s="1"/>
  <c r="KW24" i="3" s="1"/>
  <c r="LD24" i="3" s="1"/>
  <c r="LK24" i="3" s="1"/>
  <c r="LR24" i="3" s="1"/>
  <c r="LY24" i="3" s="1"/>
  <c r="MF24" i="3" s="1"/>
  <c r="MM24" i="3" s="1"/>
  <c r="MT24" i="3" s="1"/>
  <c r="NA24" i="3" s="1"/>
  <c r="NH24" i="3" s="1"/>
  <c r="NO24" i="3" s="1"/>
  <c r="NV24" i="3" s="1"/>
  <c r="OC24" i="3" s="1"/>
  <c r="OJ24" i="3" s="1"/>
  <c r="OQ24" i="3" s="1"/>
  <c r="OX24" i="3" s="1"/>
  <c r="PE24" i="3" s="1"/>
  <c r="PL24" i="3" s="1"/>
  <c r="PS24" i="3" s="1"/>
  <c r="PZ24" i="3" s="1"/>
  <c r="QG24" i="3" s="1"/>
  <c r="QN24" i="3" s="1"/>
  <c r="QU24" i="3" s="1"/>
  <c r="RB24" i="3" s="1"/>
  <c r="RI24" i="3" s="1"/>
  <c r="RP24" i="3" s="1"/>
  <c r="RW24" i="3" s="1"/>
  <c r="SD24" i="3" s="1"/>
  <c r="SK24" i="3" s="1"/>
  <c r="SR24" i="3" s="1"/>
  <c r="SY24" i="3" s="1"/>
  <c r="TF24" i="3" s="1"/>
  <c r="TM24" i="3" s="1"/>
  <c r="TT24" i="3" s="1"/>
  <c r="UA24" i="3" s="1"/>
  <c r="UH24" i="3" s="1"/>
  <c r="UO24" i="3" s="1"/>
  <c r="UV24" i="3" s="1"/>
  <c r="VC24" i="3" s="1"/>
  <c r="VJ24" i="3" s="1"/>
  <c r="VQ24" i="3" s="1"/>
  <c r="VX24" i="3" s="1"/>
  <c r="WE24" i="3" s="1"/>
  <c r="WL24" i="3" s="1"/>
  <c r="WS24" i="3" s="1"/>
  <c r="WZ24" i="3" s="1"/>
  <c r="XG24" i="3" s="1"/>
  <c r="XN24" i="3" s="1"/>
  <c r="W24" i="3"/>
  <c r="AD24" i="3" s="1"/>
  <c r="AK24" i="3" s="1"/>
  <c r="AR24" i="3" s="1"/>
  <c r="AY24" i="3" s="1"/>
  <c r="BF24" i="3" s="1"/>
  <c r="BM24" i="3" s="1"/>
  <c r="BT24" i="3" s="1"/>
  <c r="CA24" i="3" s="1"/>
  <c r="CH24" i="3" s="1"/>
  <c r="CO24" i="3" s="1"/>
  <c r="CV24" i="3" s="1"/>
  <c r="DC24" i="3" s="1"/>
  <c r="DJ24" i="3" s="1"/>
  <c r="DQ24" i="3" s="1"/>
  <c r="DX24" i="3" s="1"/>
  <c r="EE24" i="3" s="1"/>
  <c r="EL24" i="3" s="1"/>
  <c r="ES24" i="3" s="1"/>
  <c r="EZ24" i="3" s="1"/>
  <c r="FG24" i="3" s="1"/>
  <c r="FN24" i="3" s="1"/>
  <c r="FU24" i="3" s="1"/>
  <c r="GB24" i="3" s="1"/>
  <c r="GI24" i="3" s="1"/>
  <c r="GP24" i="3" s="1"/>
  <c r="GW24" i="3" s="1"/>
  <c r="HD24" i="3" s="1"/>
  <c r="HK24" i="3" s="1"/>
  <c r="HR24" i="3" s="1"/>
  <c r="HY24" i="3" s="1"/>
  <c r="IF24" i="3" s="1"/>
  <c r="IM24" i="3" s="1"/>
  <c r="IT24" i="3" s="1"/>
  <c r="JA24" i="3" s="1"/>
  <c r="JH24" i="3" s="1"/>
  <c r="JO24" i="3" s="1"/>
  <c r="JV24" i="3" s="1"/>
  <c r="KC24" i="3" s="1"/>
  <c r="KJ24" i="3" s="1"/>
  <c r="KQ24" i="3" s="1"/>
  <c r="KX24" i="3" s="1"/>
  <c r="LE24" i="3" s="1"/>
  <c r="LL24" i="3" s="1"/>
  <c r="LS24" i="3" s="1"/>
  <c r="LZ24" i="3" s="1"/>
  <c r="MG24" i="3" s="1"/>
  <c r="MN24" i="3" s="1"/>
  <c r="MU24" i="3" s="1"/>
  <c r="NB24" i="3" s="1"/>
  <c r="NI24" i="3" s="1"/>
  <c r="NP24" i="3" s="1"/>
  <c r="NW24" i="3" s="1"/>
  <c r="OD24" i="3" s="1"/>
  <c r="OK24" i="3" s="1"/>
  <c r="OR24" i="3" s="1"/>
  <c r="OY24" i="3" s="1"/>
  <c r="PF24" i="3" s="1"/>
  <c r="PM24" i="3" s="1"/>
  <c r="PT24" i="3" s="1"/>
  <c r="QA24" i="3" s="1"/>
  <c r="QH24" i="3" s="1"/>
  <c r="QO24" i="3" s="1"/>
  <c r="QV24" i="3" s="1"/>
  <c r="RC24" i="3" s="1"/>
  <c r="RJ24" i="3" s="1"/>
  <c r="RQ24" i="3" s="1"/>
  <c r="RX24" i="3" s="1"/>
  <c r="SE24" i="3" s="1"/>
  <c r="SL24" i="3" s="1"/>
  <c r="SS24" i="3" s="1"/>
  <c r="SZ24" i="3" s="1"/>
  <c r="TG24" i="3" s="1"/>
  <c r="TN24" i="3" s="1"/>
  <c r="TU24" i="3" s="1"/>
  <c r="UB24" i="3" s="1"/>
  <c r="UI24" i="3" s="1"/>
  <c r="UP24" i="3" s="1"/>
  <c r="UW24" i="3" s="1"/>
  <c r="VD24" i="3" s="1"/>
  <c r="VK24" i="3" s="1"/>
  <c r="VR24" i="3" s="1"/>
  <c r="VY24" i="3" s="1"/>
  <c r="WF24" i="3" s="1"/>
  <c r="WM24" i="3" s="1"/>
  <c r="WT24" i="3" s="1"/>
  <c r="XA24" i="3" s="1"/>
  <c r="XH24" i="3" s="1"/>
  <c r="XO24" i="3" s="1"/>
  <c r="Z24" i="3"/>
  <c r="AG24" i="3" s="1"/>
  <c r="AN24" i="3" s="1"/>
  <c r="AU24" i="3" s="1"/>
  <c r="BB24" i="3" s="1"/>
  <c r="BI24" i="3" s="1"/>
  <c r="BP24" i="3" s="1"/>
  <c r="BW24" i="3" s="1"/>
  <c r="CD24" i="3" s="1"/>
  <c r="CK24" i="3" s="1"/>
  <c r="CR24" i="3" s="1"/>
  <c r="CY24" i="3" s="1"/>
  <c r="DF24" i="3" s="1"/>
  <c r="DM24" i="3" s="1"/>
  <c r="DT24" i="3" s="1"/>
  <c r="EA24" i="3" s="1"/>
  <c r="EH24" i="3" s="1"/>
  <c r="EO24" i="3" s="1"/>
  <c r="EV24" i="3" s="1"/>
  <c r="FC24" i="3" s="1"/>
  <c r="FJ24" i="3" s="1"/>
  <c r="FQ24" i="3" s="1"/>
  <c r="FX24" i="3" s="1"/>
  <c r="GE24" i="3" s="1"/>
  <c r="GL24" i="3" s="1"/>
  <c r="GS24" i="3" s="1"/>
  <c r="GZ24" i="3" s="1"/>
  <c r="HG24" i="3" s="1"/>
  <c r="HN24" i="3" s="1"/>
  <c r="HU24" i="3" s="1"/>
  <c r="IB24" i="3" s="1"/>
  <c r="II24" i="3" s="1"/>
  <c r="IP24" i="3" s="1"/>
  <c r="IW24" i="3" s="1"/>
  <c r="JD24" i="3" s="1"/>
  <c r="JK24" i="3" s="1"/>
  <c r="JR24" i="3" s="1"/>
  <c r="JY24" i="3" s="1"/>
  <c r="KF24" i="3" s="1"/>
  <c r="KM24" i="3" s="1"/>
  <c r="KT24" i="3" s="1"/>
  <c r="LA24" i="3" s="1"/>
  <c r="LH24" i="3" s="1"/>
  <c r="LO24" i="3" s="1"/>
  <c r="LV24" i="3" s="1"/>
  <c r="MC24" i="3" s="1"/>
  <c r="MJ24" i="3" s="1"/>
  <c r="MQ24" i="3" s="1"/>
  <c r="MX24" i="3" s="1"/>
  <c r="NE24" i="3" s="1"/>
  <c r="NL24" i="3" s="1"/>
  <c r="NS24" i="3" s="1"/>
  <c r="NZ24" i="3" s="1"/>
  <c r="OG24" i="3" s="1"/>
  <c r="ON24" i="3" s="1"/>
  <c r="OU24" i="3" s="1"/>
  <c r="PB24" i="3" s="1"/>
  <c r="PI24" i="3" s="1"/>
  <c r="PP24" i="3" s="1"/>
  <c r="PW24" i="3" s="1"/>
  <c r="QD24" i="3" s="1"/>
  <c r="QK24" i="3" s="1"/>
  <c r="QR24" i="3" s="1"/>
  <c r="QY24" i="3" s="1"/>
  <c r="RF24" i="3" s="1"/>
  <c r="RM24" i="3" s="1"/>
  <c r="RT24" i="3" s="1"/>
  <c r="SA24" i="3" s="1"/>
  <c r="SH24" i="3" s="1"/>
  <c r="SO24" i="3" s="1"/>
  <c r="SV24" i="3" s="1"/>
  <c r="TC24" i="3" s="1"/>
  <c r="TJ24" i="3" s="1"/>
  <c r="TQ24" i="3" s="1"/>
  <c r="TX24" i="3" s="1"/>
  <c r="UE24" i="3" s="1"/>
  <c r="UL24" i="3" s="1"/>
  <c r="US24" i="3" s="1"/>
  <c r="UZ24" i="3" s="1"/>
  <c r="VG24" i="3" s="1"/>
  <c r="VN24" i="3" s="1"/>
  <c r="VU24" i="3" s="1"/>
  <c r="WB24" i="3" s="1"/>
  <c r="WI24" i="3" s="1"/>
  <c r="WP24" i="3" s="1"/>
  <c r="WW24" i="3" s="1"/>
  <c r="XD24" i="3" s="1"/>
  <c r="XK24" i="3" s="1"/>
  <c r="AA24" i="3"/>
  <c r="AH24" i="3" s="1"/>
  <c r="AO24" i="3" s="1"/>
  <c r="AV24" i="3" s="1"/>
  <c r="BC24" i="3" s="1"/>
  <c r="BJ24" i="3" s="1"/>
  <c r="BQ24" i="3" s="1"/>
  <c r="BX24" i="3" s="1"/>
  <c r="CE24" i="3" s="1"/>
  <c r="CL24" i="3" s="1"/>
  <c r="CS24" i="3" s="1"/>
  <c r="CZ24" i="3" s="1"/>
  <c r="DG24" i="3" s="1"/>
  <c r="DN24" i="3" s="1"/>
  <c r="DU24" i="3" s="1"/>
  <c r="EB24" i="3" s="1"/>
  <c r="EI24" i="3" s="1"/>
  <c r="EP24" i="3" s="1"/>
  <c r="EW24" i="3" s="1"/>
  <c r="FD24" i="3" s="1"/>
  <c r="FK24" i="3" s="1"/>
  <c r="FR24" i="3" s="1"/>
  <c r="FY24" i="3" s="1"/>
  <c r="GF24" i="3" s="1"/>
  <c r="GM24" i="3" s="1"/>
  <c r="GT24" i="3" s="1"/>
  <c r="HA24" i="3" s="1"/>
  <c r="HH24" i="3" s="1"/>
  <c r="HO24" i="3" s="1"/>
  <c r="HV24" i="3" s="1"/>
  <c r="IC24" i="3" s="1"/>
  <c r="IJ24" i="3" s="1"/>
  <c r="IQ24" i="3" s="1"/>
  <c r="IX24" i="3" s="1"/>
  <c r="JE24" i="3" s="1"/>
  <c r="JL24" i="3" s="1"/>
  <c r="JS24" i="3" s="1"/>
  <c r="JZ24" i="3" s="1"/>
  <c r="KG24" i="3" s="1"/>
  <c r="KN24" i="3" s="1"/>
  <c r="KU24" i="3" s="1"/>
  <c r="LB24" i="3" s="1"/>
  <c r="LI24" i="3" s="1"/>
  <c r="LP24" i="3" s="1"/>
  <c r="LW24" i="3" s="1"/>
  <c r="MD24" i="3" s="1"/>
  <c r="MK24" i="3" s="1"/>
  <c r="MR24" i="3" s="1"/>
  <c r="MY24" i="3" s="1"/>
  <c r="NF24" i="3" s="1"/>
  <c r="NM24" i="3" s="1"/>
  <c r="NT24" i="3" s="1"/>
  <c r="OA24" i="3" s="1"/>
  <c r="OH24" i="3" s="1"/>
  <c r="OO24" i="3" s="1"/>
  <c r="OV24" i="3" s="1"/>
  <c r="PC24" i="3" s="1"/>
  <c r="PJ24" i="3" s="1"/>
  <c r="PQ24" i="3" s="1"/>
  <c r="PX24" i="3" s="1"/>
  <c r="QE24" i="3" s="1"/>
  <c r="QL24" i="3" s="1"/>
  <c r="QS24" i="3" s="1"/>
  <c r="QZ24" i="3" s="1"/>
  <c r="RG24" i="3" s="1"/>
  <c r="RN24" i="3" s="1"/>
  <c r="RU24" i="3" s="1"/>
  <c r="SB24" i="3" s="1"/>
  <c r="SI24" i="3" s="1"/>
  <c r="SP24" i="3" s="1"/>
  <c r="SW24" i="3" s="1"/>
  <c r="TD24" i="3" s="1"/>
  <c r="TK24" i="3" s="1"/>
  <c r="TR24" i="3" s="1"/>
  <c r="TY24" i="3" s="1"/>
  <c r="UF24" i="3" s="1"/>
  <c r="UM24" i="3" s="1"/>
  <c r="UT24" i="3" s="1"/>
  <c r="VA24" i="3" s="1"/>
  <c r="VH24" i="3" s="1"/>
  <c r="VO24" i="3" s="1"/>
  <c r="VV24" i="3" s="1"/>
  <c r="WC24" i="3" s="1"/>
  <c r="WJ24" i="3" s="1"/>
  <c r="WQ24" i="3" s="1"/>
  <c r="WX24" i="3" s="1"/>
  <c r="XE24" i="3" s="1"/>
  <c r="XL24" i="3" s="1"/>
  <c r="Q24" i="3"/>
  <c r="X24" i="3" s="1"/>
  <c r="AE24" i="3" s="1"/>
  <c r="AL24" i="3" s="1"/>
  <c r="AS24" i="3" s="1"/>
  <c r="AZ24" i="3" s="1"/>
  <c r="BG24" i="3" s="1"/>
  <c r="BN24" i="3" s="1"/>
  <c r="BU24" i="3" s="1"/>
  <c r="CB24" i="3" s="1"/>
  <c r="CI24" i="3" s="1"/>
  <c r="CP24" i="3" s="1"/>
  <c r="CW24" i="3" s="1"/>
  <c r="DD24" i="3" s="1"/>
  <c r="DK24" i="3" s="1"/>
  <c r="DR24" i="3" s="1"/>
  <c r="DY24" i="3" s="1"/>
  <c r="EF24" i="3" s="1"/>
  <c r="EM24" i="3" s="1"/>
  <c r="ET24" i="3" s="1"/>
  <c r="FA24" i="3" s="1"/>
  <c r="FH24" i="3" s="1"/>
  <c r="FO24" i="3" s="1"/>
  <c r="FV24" i="3" s="1"/>
  <c r="GC24" i="3" s="1"/>
  <c r="GJ24" i="3" s="1"/>
  <c r="GQ24" i="3" s="1"/>
  <c r="GX24" i="3" s="1"/>
  <c r="HE24" i="3" s="1"/>
  <c r="HL24" i="3" s="1"/>
  <c r="HS24" i="3" s="1"/>
  <c r="HZ24" i="3" s="1"/>
  <c r="IG24" i="3" s="1"/>
  <c r="IN24" i="3" s="1"/>
  <c r="IU24" i="3" s="1"/>
  <c r="JB24" i="3" s="1"/>
  <c r="JI24" i="3" s="1"/>
  <c r="JP24" i="3" s="1"/>
  <c r="JW24" i="3" s="1"/>
  <c r="KD24" i="3" s="1"/>
  <c r="KK24" i="3" s="1"/>
  <c r="KR24" i="3" s="1"/>
  <c r="KY24" i="3" s="1"/>
  <c r="LF24" i="3" s="1"/>
  <c r="LM24" i="3" s="1"/>
  <c r="LT24" i="3" s="1"/>
  <c r="MA24" i="3" s="1"/>
  <c r="MH24" i="3" s="1"/>
  <c r="MO24" i="3" s="1"/>
  <c r="MV24" i="3" s="1"/>
  <c r="NC24" i="3" s="1"/>
  <c r="NJ24" i="3" s="1"/>
  <c r="NQ24" i="3" s="1"/>
  <c r="NX24" i="3" s="1"/>
  <c r="OE24" i="3" s="1"/>
  <c r="OL24" i="3" s="1"/>
  <c r="OS24" i="3" s="1"/>
  <c r="OZ24" i="3" s="1"/>
  <c r="PG24" i="3" s="1"/>
  <c r="PN24" i="3" s="1"/>
  <c r="PU24" i="3" s="1"/>
  <c r="QB24" i="3" s="1"/>
  <c r="QI24" i="3" s="1"/>
  <c r="QP24" i="3" s="1"/>
  <c r="QW24" i="3" s="1"/>
  <c r="RD24" i="3" s="1"/>
  <c r="RK24" i="3" s="1"/>
  <c r="RR24" i="3" s="1"/>
  <c r="RY24" i="3" s="1"/>
  <c r="SF24" i="3" s="1"/>
  <c r="SM24" i="3" s="1"/>
  <c r="ST24" i="3" s="1"/>
  <c r="TA24" i="3" s="1"/>
  <c r="TH24" i="3" s="1"/>
  <c r="TO24" i="3" s="1"/>
  <c r="TV24" i="3" s="1"/>
  <c r="UC24" i="3" s="1"/>
  <c r="UJ24" i="3" s="1"/>
  <c r="UQ24" i="3" s="1"/>
  <c r="UX24" i="3" s="1"/>
  <c r="VE24" i="3" s="1"/>
  <c r="VL24" i="3" s="1"/>
  <c r="VS24" i="3" s="1"/>
  <c r="VZ24" i="3" s="1"/>
  <c r="WG24" i="3" s="1"/>
  <c r="WN24" i="3" s="1"/>
  <c r="WU24" i="3" s="1"/>
  <c r="XB24" i="3" s="1"/>
  <c r="XI24" i="3" s="1"/>
  <c r="XP24" i="3" s="1"/>
  <c r="C55" i="3"/>
  <c r="C57" i="3" s="1"/>
  <c r="C56" i="3"/>
  <c r="E75" i="1"/>
  <c r="E74" i="1"/>
  <c r="D73" i="1"/>
  <c r="E73" i="1" s="1"/>
  <c r="E72" i="1"/>
  <c r="E71" i="1"/>
  <c r="D70" i="1"/>
  <c r="E70" i="1" s="1"/>
  <c r="E69" i="1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C51" i="4"/>
  <c r="Y27" i="4"/>
  <c r="Y28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C26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DM2" i="4"/>
  <c r="DN2" i="4"/>
  <c r="DO2" i="4"/>
  <c r="DP2" i="4"/>
  <c r="DQ2" i="4"/>
  <c r="DR2" i="4"/>
  <c r="DS2" i="4"/>
  <c r="DT2" i="4"/>
  <c r="DU2" i="4"/>
  <c r="DV2" i="4"/>
  <c r="DW2" i="4"/>
  <c r="DX2" i="4"/>
  <c r="DY2" i="4"/>
  <c r="DZ2" i="4"/>
  <c r="EA2" i="4"/>
  <c r="EB2" i="4"/>
  <c r="EC2" i="4"/>
  <c r="ED2" i="4"/>
  <c r="EE2" i="4"/>
  <c r="EF2" i="4"/>
  <c r="EG2" i="4"/>
  <c r="EH2" i="4"/>
  <c r="EI2" i="4"/>
  <c r="EJ2" i="4"/>
  <c r="EK2" i="4"/>
  <c r="EL2" i="4"/>
  <c r="EM2" i="4"/>
  <c r="EN2" i="4"/>
  <c r="EO2" i="4"/>
  <c r="EP2" i="4"/>
  <c r="EQ2" i="4"/>
  <c r="ER2" i="4"/>
  <c r="ES2" i="4"/>
  <c r="ET2" i="4"/>
  <c r="EU2" i="4"/>
  <c r="EV2" i="4"/>
  <c r="EW2" i="4"/>
  <c r="EX2" i="4"/>
  <c r="EY2" i="4"/>
  <c r="EZ2" i="4"/>
  <c r="FA2" i="4"/>
  <c r="FB2" i="4"/>
  <c r="FC2" i="4"/>
  <c r="FD2" i="4"/>
  <c r="FE2" i="4"/>
  <c r="FF2" i="4"/>
  <c r="FG2" i="4"/>
  <c r="FH2" i="4"/>
  <c r="FI2" i="4"/>
  <c r="FJ2" i="4"/>
  <c r="FK2" i="4"/>
  <c r="FL2" i="4"/>
  <c r="FM2" i="4"/>
  <c r="FN2" i="4"/>
  <c r="FO2" i="4"/>
  <c r="FP2" i="4"/>
  <c r="FQ2" i="4"/>
  <c r="FR2" i="4"/>
  <c r="FS2" i="4"/>
  <c r="FT2" i="4"/>
  <c r="FU2" i="4"/>
  <c r="FV2" i="4"/>
  <c r="FW2" i="4"/>
  <c r="FX2" i="4"/>
  <c r="FY2" i="4"/>
  <c r="FZ2" i="4"/>
  <c r="GA2" i="4"/>
  <c r="GB2" i="4"/>
  <c r="GC2" i="4"/>
  <c r="GD2" i="4"/>
  <c r="GE2" i="4"/>
  <c r="GF2" i="4"/>
  <c r="GG2" i="4"/>
  <c r="GH2" i="4"/>
  <c r="GI2" i="4"/>
  <c r="GJ2" i="4"/>
  <c r="GK2" i="4"/>
  <c r="GL2" i="4"/>
  <c r="GM2" i="4"/>
  <c r="GN2" i="4"/>
  <c r="GO2" i="4"/>
  <c r="GP2" i="4"/>
  <c r="GQ2" i="4"/>
  <c r="GR2" i="4"/>
  <c r="GS2" i="4"/>
  <c r="GT2" i="4"/>
  <c r="GU2" i="4"/>
  <c r="GV2" i="4"/>
  <c r="GW2" i="4"/>
  <c r="GX2" i="4"/>
  <c r="GY2" i="4"/>
  <c r="GZ2" i="4"/>
  <c r="HA2" i="4"/>
  <c r="HB2" i="4"/>
  <c r="HC2" i="4"/>
  <c r="HD2" i="4"/>
  <c r="HE2" i="4"/>
  <c r="HF2" i="4"/>
  <c r="HG2" i="4"/>
  <c r="HH2" i="4"/>
  <c r="HI2" i="4"/>
  <c r="HJ2" i="4"/>
  <c r="HK2" i="4"/>
  <c r="HL2" i="4"/>
  <c r="HM2" i="4"/>
  <c r="HN2" i="4"/>
  <c r="HO2" i="4"/>
  <c r="HP2" i="4"/>
  <c r="HQ2" i="4"/>
  <c r="HR2" i="4"/>
  <c r="HS2" i="4"/>
  <c r="HT2" i="4"/>
  <c r="HU2" i="4"/>
  <c r="HV2" i="4"/>
  <c r="HW2" i="4"/>
  <c r="HX2" i="4"/>
  <c r="HY2" i="4"/>
  <c r="HZ2" i="4"/>
  <c r="IA2" i="4"/>
  <c r="IB2" i="4"/>
  <c r="IC2" i="4"/>
  <c r="ID2" i="4"/>
  <c r="IE2" i="4"/>
  <c r="IF2" i="4"/>
  <c r="IG2" i="4"/>
  <c r="IH2" i="4"/>
  <c r="II2" i="4"/>
  <c r="IJ2" i="4"/>
  <c r="IK2" i="4"/>
  <c r="IL2" i="4"/>
  <c r="IM2" i="4"/>
  <c r="IN2" i="4"/>
  <c r="IO2" i="4"/>
  <c r="IP2" i="4"/>
  <c r="IQ2" i="4"/>
  <c r="IR2" i="4"/>
  <c r="IS2" i="4"/>
  <c r="IT2" i="4"/>
  <c r="IU2" i="4"/>
  <c r="IV2" i="4"/>
  <c r="IW2" i="4"/>
  <c r="IX2" i="4"/>
  <c r="IY2" i="4"/>
  <c r="IZ2" i="4"/>
  <c r="JA2" i="4"/>
  <c r="JB2" i="4"/>
  <c r="JC2" i="4"/>
  <c r="JD2" i="4"/>
  <c r="JE2" i="4"/>
  <c r="JF2" i="4"/>
  <c r="JG2" i="4"/>
  <c r="JH2" i="4"/>
  <c r="JI2" i="4"/>
  <c r="JJ2" i="4"/>
  <c r="JK2" i="4"/>
  <c r="JL2" i="4"/>
  <c r="JM2" i="4"/>
  <c r="JN2" i="4"/>
  <c r="JO2" i="4"/>
  <c r="JP2" i="4"/>
  <c r="JQ2" i="4"/>
  <c r="JR2" i="4"/>
  <c r="JS2" i="4"/>
  <c r="JT2" i="4"/>
  <c r="JU2" i="4"/>
  <c r="JV2" i="4"/>
  <c r="JW2" i="4"/>
  <c r="JX2" i="4"/>
  <c r="JY2" i="4"/>
  <c r="JZ2" i="4"/>
  <c r="KA2" i="4"/>
  <c r="KB2" i="4"/>
  <c r="KC2" i="4"/>
  <c r="KD2" i="4"/>
  <c r="KE2" i="4"/>
  <c r="KF2" i="4"/>
  <c r="KG2" i="4"/>
  <c r="KH2" i="4"/>
  <c r="KI2" i="4"/>
  <c r="KJ2" i="4"/>
  <c r="KK2" i="4"/>
  <c r="KL2" i="4"/>
  <c r="KM2" i="4"/>
  <c r="KN2" i="4"/>
  <c r="KO2" i="4"/>
  <c r="KP2" i="4"/>
  <c r="KQ2" i="4"/>
  <c r="KR2" i="4"/>
  <c r="KS2" i="4"/>
  <c r="KT2" i="4"/>
  <c r="KU2" i="4"/>
  <c r="KV2" i="4"/>
  <c r="KW2" i="4"/>
  <c r="KX2" i="4"/>
  <c r="KY2" i="4"/>
  <c r="KZ2" i="4"/>
  <c r="LA2" i="4"/>
  <c r="LB2" i="4"/>
  <c r="LC2" i="4"/>
  <c r="LD2" i="4"/>
  <c r="LE2" i="4"/>
  <c r="LF2" i="4"/>
  <c r="LG2" i="4"/>
  <c r="LH2" i="4"/>
  <c r="LI2" i="4"/>
  <c r="LJ2" i="4"/>
  <c r="LK2" i="4"/>
  <c r="LL2" i="4"/>
  <c r="LM2" i="4"/>
  <c r="LN2" i="4"/>
  <c r="LO2" i="4"/>
  <c r="LP2" i="4"/>
  <c r="LQ2" i="4"/>
  <c r="LR2" i="4"/>
  <c r="LS2" i="4"/>
  <c r="LT2" i="4"/>
  <c r="LU2" i="4"/>
  <c r="LV2" i="4"/>
  <c r="LW2" i="4"/>
  <c r="LX2" i="4"/>
  <c r="LY2" i="4"/>
  <c r="LZ2" i="4"/>
  <c r="MA2" i="4"/>
  <c r="MB2" i="4"/>
  <c r="MC2" i="4"/>
  <c r="MD2" i="4"/>
  <c r="ME2" i="4"/>
  <c r="MF2" i="4"/>
  <c r="MG2" i="4"/>
  <c r="MH2" i="4"/>
  <c r="MI2" i="4"/>
  <c r="MJ2" i="4"/>
  <c r="MK2" i="4"/>
  <c r="ML2" i="4"/>
  <c r="MM2" i="4"/>
  <c r="MN2" i="4"/>
  <c r="MO2" i="4"/>
  <c r="MP2" i="4"/>
  <c r="MQ2" i="4"/>
  <c r="MR2" i="4"/>
  <c r="MS2" i="4"/>
  <c r="MT2" i="4"/>
  <c r="MU2" i="4"/>
  <c r="MV2" i="4"/>
  <c r="MW2" i="4"/>
  <c r="MX2" i="4"/>
  <c r="MY2" i="4"/>
  <c r="MZ2" i="4"/>
  <c r="NA2" i="4"/>
  <c r="NB2" i="4"/>
  <c r="NC2" i="4"/>
  <c r="ND2" i="4"/>
  <c r="NE2" i="4"/>
  <c r="NF2" i="4"/>
  <c r="NG2" i="4"/>
  <c r="NH2" i="4"/>
  <c r="NI2" i="4"/>
  <c r="NJ2" i="4"/>
  <c r="NK2" i="4"/>
  <c r="NL2" i="4"/>
  <c r="NM2" i="4"/>
  <c r="NN2" i="4"/>
  <c r="NO2" i="4"/>
  <c r="NP2" i="4"/>
  <c r="NQ2" i="4"/>
  <c r="NR2" i="4"/>
  <c r="NS2" i="4"/>
  <c r="NT2" i="4"/>
  <c r="NU2" i="4"/>
  <c r="NV2" i="4"/>
  <c r="NW2" i="4"/>
  <c r="NX2" i="4"/>
  <c r="NY2" i="4"/>
  <c r="NZ2" i="4"/>
  <c r="OA2" i="4"/>
  <c r="OB2" i="4"/>
  <c r="OC2" i="4"/>
  <c r="OD2" i="4"/>
  <c r="OE2" i="4"/>
  <c r="OF2" i="4"/>
  <c r="OG2" i="4"/>
  <c r="OH2" i="4"/>
  <c r="OI2" i="4"/>
  <c r="OJ2" i="4"/>
  <c r="OK2" i="4"/>
  <c r="OL2" i="4"/>
  <c r="OM2" i="4"/>
  <c r="ON2" i="4"/>
  <c r="OO2" i="4"/>
  <c r="OP2" i="4"/>
  <c r="OQ2" i="4"/>
  <c r="OR2" i="4"/>
  <c r="OS2" i="4"/>
  <c r="OT2" i="4"/>
  <c r="OU2" i="4"/>
  <c r="OV2" i="4"/>
  <c r="OW2" i="4"/>
  <c r="OX2" i="4"/>
  <c r="OY2" i="4"/>
  <c r="OZ2" i="4"/>
  <c r="PA2" i="4"/>
  <c r="PB2" i="4"/>
  <c r="PC2" i="4"/>
  <c r="PD2" i="4"/>
  <c r="PE2" i="4"/>
  <c r="PF2" i="4"/>
  <c r="PG2" i="4"/>
  <c r="PH2" i="4"/>
  <c r="PI2" i="4"/>
  <c r="PJ2" i="4"/>
  <c r="PK2" i="4"/>
  <c r="PL2" i="4"/>
  <c r="PM2" i="4"/>
  <c r="PN2" i="4"/>
  <c r="PO2" i="4"/>
  <c r="PP2" i="4"/>
  <c r="PQ2" i="4"/>
  <c r="PR2" i="4"/>
  <c r="PS2" i="4"/>
  <c r="PT2" i="4"/>
  <c r="PU2" i="4"/>
  <c r="PV2" i="4"/>
  <c r="PW2" i="4"/>
  <c r="PX2" i="4"/>
  <c r="PY2" i="4"/>
  <c r="PZ2" i="4"/>
  <c r="QA2" i="4"/>
  <c r="QB2" i="4"/>
  <c r="QC2" i="4"/>
  <c r="QD2" i="4"/>
  <c r="QE2" i="4"/>
  <c r="QF2" i="4"/>
  <c r="QG2" i="4"/>
  <c r="QH2" i="4"/>
  <c r="QI2" i="4"/>
  <c r="QJ2" i="4"/>
  <c r="QK2" i="4"/>
  <c r="QL2" i="4"/>
  <c r="QM2" i="4"/>
  <c r="QN2" i="4"/>
  <c r="QO2" i="4"/>
  <c r="QP2" i="4"/>
  <c r="QQ2" i="4"/>
  <c r="QR2" i="4"/>
  <c r="QS2" i="4"/>
  <c r="QT2" i="4"/>
  <c r="QU2" i="4"/>
  <c r="QV2" i="4"/>
  <c r="QW2" i="4"/>
  <c r="QX2" i="4"/>
  <c r="QY2" i="4"/>
  <c r="QZ2" i="4"/>
  <c r="RA2" i="4"/>
  <c r="RB2" i="4"/>
  <c r="RC2" i="4"/>
  <c r="RD2" i="4"/>
  <c r="RE2" i="4"/>
  <c r="RF2" i="4"/>
  <c r="RG2" i="4"/>
  <c r="RH2" i="4"/>
  <c r="RI2" i="4"/>
  <c r="RJ2" i="4"/>
  <c r="RK2" i="4"/>
  <c r="RL2" i="4"/>
  <c r="RM2" i="4"/>
  <c r="RN2" i="4"/>
  <c r="RO2" i="4"/>
  <c r="RP2" i="4"/>
  <c r="RQ2" i="4"/>
  <c r="RR2" i="4"/>
  <c r="RS2" i="4"/>
  <c r="RT2" i="4"/>
  <c r="RU2" i="4"/>
  <c r="RV2" i="4"/>
  <c r="RW2" i="4"/>
  <c r="RX2" i="4"/>
  <c r="RY2" i="4"/>
  <c r="RZ2" i="4"/>
  <c r="SA2" i="4"/>
  <c r="SB2" i="4"/>
  <c r="SC2" i="4"/>
  <c r="SD2" i="4"/>
  <c r="SE2" i="4"/>
  <c r="SF2" i="4"/>
  <c r="SG2" i="4"/>
  <c r="SH2" i="4"/>
  <c r="SI2" i="4"/>
  <c r="SJ2" i="4"/>
  <c r="SK2" i="4"/>
  <c r="SL2" i="4"/>
  <c r="SM2" i="4"/>
  <c r="SN2" i="4"/>
  <c r="SO2" i="4"/>
  <c r="SP2" i="4"/>
  <c r="SQ2" i="4"/>
  <c r="SR2" i="4"/>
  <c r="SS2" i="4"/>
  <c r="ST2" i="4"/>
  <c r="SU2" i="4"/>
  <c r="SV2" i="4"/>
  <c r="SW2" i="4"/>
  <c r="SX2" i="4"/>
  <c r="SY2" i="4"/>
  <c r="SZ2" i="4"/>
  <c r="TA2" i="4"/>
  <c r="TB2" i="4"/>
  <c r="TC2" i="4"/>
  <c r="TD2" i="4"/>
  <c r="TE2" i="4"/>
  <c r="TF2" i="4"/>
  <c r="TG2" i="4"/>
  <c r="TH2" i="4"/>
  <c r="TI2" i="4"/>
  <c r="TJ2" i="4"/>
  <c r="TK2" i="4"/>
  <c r="TL2" i="4"/>
  <c r="TM2" i="4"/>
  <c r="TN2" i="4"/>
  <c r="TO2" i="4"/>
  <c r="TP2" i="4"/>
  <c r="TQ2" i="4"/>
  <c r="TR2" i="4"/>
  <c r="TS2" i="4"/>
  <c r="TT2" i="4"/>
  <c r="TU2" i="4"/>
  <c r="TV2" i="4"/>
  <c r="TW2" i="4"/>
  <c r="TX2" i="4"/>
  <c r="TY2" i="4"/>
  <c r="TZ2" i="4"/>
  <c r="UA2" i="4"/>
  <c r="UB2" i="4"/>
  <c r="UC2" i="4"/>
  <c r="UD2" i="4"/>
  <c r="UE2" i="4"/>
  <c r="UF2" i="4"/>
  <c r="UG2" i="4"/>
  <c r="UH2" i="4"/>
  <c r="UI2" i="4"/>
  <c r="UJ2" i="4"/>
  <c r="UK2" i="4"/>
  <c r="UL2" i="4"/>
  <c r="UM2" i="4"/>
  <c r="UN2" i="4"/>
  <c r="UO2" i="4"/>
  <c r="UP2" i="4"/>
  <c r="UQ2" i="4"/>
  <c r="UR2" i="4"/>
  <c r="US2" i="4"/>
  <c r="UT2" i="4"/>
  <c r="UU2" i="4"/>
  <c r="UV2" i="4"/>
  <c r="UW2" i="4"/>
  <c r="UX2" i="4"/>
  <c r="UY2" i="4"/>
  <c r="UZ2" i="4"/>
  <c r="VA2" i="4"/>
  <c r="VB2" i="4"/>
  <c r="VC2" i="4"/>
  <c r="VD2" i="4"/>
  <c r="VE2" i="4"/>
  <c r="VF2" i="4"/>
  <c r="VG2" i="4"/>
  <c r="VH2" i="4"/>
  <c r="VI2" i="4"/>
  <c r="VJ2" i="4"/>
  <c r="VK2" i="4"/>
  <c r="VL2" i="4"/>
  <c r="VM2" i="4"/>
  <c r="VN2" i="4"/>
  <c r="VO2" i="4"/>
  <c r="VP2" i="4"/>
  <c r="VQ2" i="4"/>
  <c r="VR2" i="4"/>
  <c r="VS2" i="4"/>
  <c r="VT2" i="4"/>
  <c r="VU2" i="4"/>
  <c r="VV2" i="4"/>
  <c r="VW2" i="4"/>
  <c r="VX2" i="4"/>
  <c r="VY2" i="4"/>
  <c r="VZ2" i="4"/>
  <c r="WA2" i="4"/>
  <c r="WB2" i="4"/>
  <c r="WC2" i="4"/>
  <c r="WD2" i="4"/>
  <c r="WE2" i="4"/>
  <c r="WF2" i="4"/>
  <c r="WG2" i="4"/>
  <c r="WH2" i="4"/>
  <c r="WI2" i="4"/>
  <c r="WJ2" i="4"/>
  <c r="WK2" i="4"/>
  <c r="WL2" i="4"/>
  <c r="WM2" i="4"/>
  <c r="WN2" i="4"/>
  <c r="WO2" i="4"/>
  <c r="WP2" i="4"/>
  <c r="WQ2" i="4"/>
  <c r="WR2" i="4"/>
  <c r="WS2" i="4"/>
  <c r="WT2" i="4"/>
  <c r="WU2" i="4"/>
  <c r="WV2" i="4"/>
  <c r="WW2" i="4"/>
  <c r="WX2" i="4"/>
  <c r="WY2" i="4"/>
  <c r="WZ2" i="4"/>
  <c r="XA2" i="4"/>
  <c r="XB2" i="4"/>
  <c r="XC2" i="4"/>
  <c r="XD2" i="4"/>
  <c r="XE2" i="4"/>
  <c r="XF2" i="4"/>
  <c r="XG2" i="4"/>
  <c r="XH2" i="4"/>
  <c r="XI2" i="4"/>
  <c r="XJ2" i="4"/>
  <c r="XK2" i="4"/>
  <c r="XL2" i="4"/>
  <c r="XM2" i="4"/>
  <c r="XN2" i="4"/>
  <c r="XO2" i="4"/>
  <c r="XP2" i="4"/>
  <c r="XQ2" i="4"/>
  <c r="C2" i="4"/>
  <c r="C63" i="3"/>
  <c r="B37" i="3"/>
  <c r="B39" i="3"/>
  <c r="B40" i="3"/>
  <c r="B38" i="3"/>
  <c r="C12" i="3"/>
  <c r="C48" i="3"/>
  <c r="D49" i="3"/>
  <c r="E49" i="3" s="1"/>
  <c r="F49" i="3" s="1"/>
  <c r="G49" i="3" s="1"/>
  <c r="H49" i="3" s="1"/>
  <c r="I49" i="3" s="1"/>
  <c r="J49" i="3" s="1"/>
  <c r="K49" i="3" s="1"/>
  <c r="C23" i="3"/>
  <c r="C8" i="3"/>
  <c r="C9" i="3" s="1"/>
  <c r="VI18" i="3"/>
  <c r="VJ18" i="3"/>
  <c r="VK18" i="3"/>
  <c r="VL18" i="3"/>
  <c r="VM18" i="3"/>
  <c r="VN18" i="3"/>
  <c r="VO18" i="3"/>
  <c r="VP18" i="3"/>
  <c r="VQ18" i="3"/>
  <c r="VR18" i="3"/>
  <c r="VS18" i="3"/>
  <c r="VT18" i="3"/>
  <c r="VU18" i="3"/>
  <c r="VV18" i="3"/>
  <c r="VW18" i="3"/>
  <c r="VX18" i="3"/>
  <c r="VY18" i="3"/>
  <c r="VZ18" i="3"/>
  <c r="WA18" i="3"/>
  <c r="WB18" i="3"/>
  <c r="WC18" i="3"/>
  <c r="WD18" i="3"/>
  <c r="WE18" i="3"/>
  <c r="WF18" i="3"/>
  <c r="WG18" i="3"/>
  <c r="WH18" i="3"/>
  <c r="WI18" i="3"/>
  <c r="WJ18" i="3"/>
  <c r="WK18" i="3"/>
  <c r="WL18" i="3"/>
  <c r="WM18" i="3"/>
  <c r="WN18" i="3"/>
  <c r="WO18" i="3"/>
  <c r="WP18" i="3"/>
  <c r="WQ18" i="3"/>
  <c r="WR18" i="3"/>
  <c r="WS18" i="3"/>
  <c r="WT18" i="3"/>
  <c r="WU18" i="3"/>
  <c r="WV18" i="3"/>
  <c r="WW18" i="3"/>
  <c r="WX18" i="3"/>
  <c r="WY18" i="3"/>
  <c r="WZ18" i="3"/>
  <c r="XA18" i="3"/>
  <c r="XB18" i="3"/>
  <c r="XC18" i="3"/>
  <c r="XD18" i="3"/>
  <c r="XE18" i="3"/>
  <c r="XF18" i="3"/>
  <c r="XG18" i="3"/>
  <c r="XH18" i="3"/>
  <c r="XI18" i="3"/>
  <c r="XJ18" i="3"/>
  <c r="XK18" i="3"/>
  <c r="XL18" i="3"/>
  <c r="XM18" i="3"/>
  <c r="XN18" i="3"/>
  <c r="XO18" i="3"/>
  <c r="XP18" i="3"/>
  <c r="XQ18" i="3"/>
  <c r="ME18" i="3"/>
  <c r="MF18" i="3"/>
  <c r="MG18" i="3"/>
  <c r="MH18" i="3"/>
  <c r="MI18" i="3"/>
  <c r="MJ18" i="3"/>
  <c r="MK18" i="3"/>
  <c r="ML18" i="3"/>
  <c r="MM18" i="3"/>
  <c r="MN18" i="3"/>
  <c r="MO18" i="3"/>
  <c r="MP18" i="3"/>
  <c r="MQ18" i="3"/>
  <c r="MR18" i="3"/>
  <c r="MS18" i="3"/>
  <c r="MT18" i="3"/>
  <c r="MU18" i="3"/>
  <c r="MV18" i="3"/>
  <c r="MW18" i="3"/>
  <c r="MX18" i="3"/>
  <c r="MY18" i="3"/>
  <c r="MZ18" i="3"/>
  <c r="NA18" i="3"/>
  <c r="NB18" i="3"/>
  <c r="NC18" i="3"/>
  <c r="ND18" i="3"/>
  <c r="NE18" i="3"/>
  <c r="NF18" i="3"/>
  <c r="NG18" i="3"/>
  <c r="NH18" i="3"/>
  <c r="NI18" i="3"/>
  <c r="NJ18" i="3"/>
  <c r="NK18" i="3"/>
  <c r="NL18" i="3"/>
  <c r="NM18" i="3"/>
  <c r="NN18" i="3"/>
  <c r="NO18" i="3"/>
  <c r="NP18" i="3"/>
  <c r="NQ18" i="3"/>
  <c r="NR18" i="3"/>
  <c r="NS18" i="3"/>
  <c r="NT18" i="3"/>
  <c r="NU18" i="3"/>
  <c r="NV18" i="3"/>
  <c r="NW18" i="3"/>
  <c r="NX18" i="3"/>
  <c r="NY18" i="3"/>
  <c r="NZ18" i="3"/>
  <c r="OA18" i="3"/>
  <c r="OB18" i="3"/>
  <c r="OC18" i="3"/>
  <c r="OD18" i="3"/>
  <c r="OE18" i="3"/>
  <c r="OF18" i="3"/>
  <c r="OG18" i="3"/>
  <c r="OH18" i="3"/>
  <c r="OI18" i="3"/>
  <c r="OJ18" i="3"/>
  <c r="OK18" i="3"/>
  <c r="OL18" i="3"/>
  <c r="OM18" i="3"/>
  <c r="ON18" i="3"/>
  <c r="OO18" i="3"/>
  <c r="OP18" i="3"/>
  <c r="OQ18" i="3"/>
  <c r="OR18" i="3"/>
  <c r="OS18" i="3"/>
  <c r="OT18" i="3"/>
  <c r="OU18" i="3"/>
  <c r="OV18" i="3"/>
  <c r="OW18" i="3"/>
  <c r="OX18" i="3"/>
  <c r="OY18" i="3"/>
  <c r="OZ18" i="3"/>
  <c r="PA18" i="3"/>
  <c r="PB18" i="3"/>
  <c r="PC18" i="3"/>
  <c r="PD18" i="3"/>
  <c r="PE18" i="3"/>
  <c r="PF18" i="3"/>
  <c r="PG18" i="3"/>
  <c r="PH18" i="3"/>
  <c r="PI18" i="3"/>
  <c r="PJ18" i="3"/>
  <c r="PK18" i="3"/>
  <c r="PL18" i="3"/>
  <c r="PM18" i="3"/>
  <c r="PN18" i="3"/>
  <c r="PO18" i="3"/>
  <c r="PP18" i="3"/>
  <c r="PQ18" i="3"/>
  <c r="PR18" i="3"/>
  <c r="PS18" i="3"/>
  <c r="PT18" i="3"/>
  <c r="PU18" i="3"/>
  <c r="PV18" i="3"/>
  <c r="PW18" i="3"/>
  <c r="PX18" i="3"/>
  <c r="PY18" i="3"/>
  <c r="PZ18" i="3"/>
  <c r="QA18" i="3"/>
  <c r="QB18" i="3"/>
  <c r="QC18" i="3"/>
  <c r="QD18" i="3"/>
  <c r="QE18" i="3"/>
  <c r="QF18" i="3"/>
  <c r="QG18" i="3"/>
  <c r="QH18" i="3"/>
  <c r="QI18" i="3"/>
  <c r="QJ18" i="3"/>
  <c r="QK18" i="3"/>
  <c r="QL18" i="3"/>
  <c r="QM18" i="3"/>
  <c r="QN18" i="3"/>
  <c r="QO18" i="3"/>
  <c r="QP18" i="3"/>
  <c r="QQ18" i="3"/>
  <c r="QR18" i="3"/>
  <c r="QS18" i="3"/>
  <c r="QT18" i="3"/>
  <c r="QU18" i="3"/>
  <c r="QV18" i="3"/>
  <c r="QW18" i="3"/>
  <c r="QX18" i="3"/>
  <c r="QY18" i="3"/>
  <c r="QZ18" i="3"/>
  <c r="RA18" i="3"/>
  <c r="RB18" i="3"/>
  <c r="RC18" i="3"/>
  <c r="RD18" i="3"/>
  <c r="RE18" i="3"/>
  <c r="RF18" i="3"/>
  <c r="RG18" i="3"/>
  <c r="RH18" i="3"/>
  <c r="RI18" i="3"/>
  <c r="RJ18" i="3"/>
  <c r="RK18" i="3"/>
  <c r="RL18" i="3"/>
  <c r="RM18" i="3"/>
  <c r="RN18" i="3"/>
  <c r="RO18" i="3"/>
  <c r="RP18" i="3"/>
  <c r="RQ18" i="3"/>
  <c r="RR18" i="3"/>
  <c r="RS18" i="3"/>
  <c r="RT18" i="3"/>
  <c r="RU18" i="3"/>
  <c r="RV18" i="3"/>
  <c r="RW18" i="3"/>
  <c r="RX18" i="3"/>
  <c r="RY18" i="3"/>
  <c r="RZ18" i="3"/>
  <c r="SA18" i="3"/>
  <c r="SB18" i="3"/>
  <c r="SC18" i="3"/>
  <c r="SD18" i="3"/>
  <c r="SE18" i="3"/>
  <c r="SF18" i="3"/>
  <c r="SG18" i="3"/>
  <c r="SH18" i="3"/>
  <c r="SI18" i="3"/>
  <c r="SJ18" i="3"/>
  <c r="SK18" i="3"/>
  <c r="SL18" i="3"/>
  <c r="SM18" i="3"/>
  <c r="SN18" i="3"/>
  <c r="SO18" i="3"/>
  <c r="SP18" i="3"/>
  <c r="SQ18" i="3"/>
  <c r="SR18" i="3"/>
  <c r="SS18" i="3"/>
  <c r="ST18" i="3"/>
  <c r="SU18" i="3"/>
  <c r="SV18" i="3"/>
  <c r="SW18" i="3"/>
  <c r="SX18" i="3"/>
  <c r="SY18" i="3"/>
  <c r="SZ18" i="3"/>
  <c r="TA18" i="3"/>
  <c r="TB18" i="3"/>
  <c r="TC18" i="3"/>
  <c r="TD18" i="3"/>
  <c r="TE18" i="3"/>
  <c r="TF18" i="3"/>
  <c r="TG18" i="3"/>
  <c r="TH18" i="3"/>
  <c r="TI18" i="3"/>
  <c r="TJ18" i="3"/>
  <c r="TK18" i="3"/>
  <c r="TL18" i="3"/>
  <c r="TM18" i="3"/>
  <c r="TN18" i="3"/>
  <c r="TO18" i="3"/>
  <c r="TP18" i="3"/>
  <c r="TQ18" i="3"/>
  <c r="TR18" i="3"/>
  <c r="TS18" i="3"/>
  <c r="TT18" i="3"/>
  <c r="TU18" i="3"/>
  <c r="TV18" i="3"/>
  <c r="TW18" i="3"/>
  <c r="TX18" i="3"/>
  <c r="TY18" i="3"/>
  <c r="TZ18" i="3"/>
  <c r="UA18" i="3"/>
  <c r="UB18" i="3"/>
  <c r="UC18" i="3"/>
  <c r="UD18" i="3"/>
  <c r="UE18" i="3"/>
  <c r="UF18" i="3"/>
  <c r="UG18" i="3"/>
  <c r="UH18" i="3"/>
  <c r="UI18" i="3"/>
  <c r="UJ18" i="3"/>
  <c r="UK18" i="3"/>
  <c r="UL18" i="3"/>
  <c r="UM18" i="3"/>
  <c r="UN18" i="3"/>
  <c r="UO18" i="3"/>
  <c r="UP18" i="3"/>
  <c r="UQ18" i="3"/>
  <c r="UR18" i="3"/>
  <c r="US18" i="3"/>
  <c r="UT18" i="3"/>
  <c r="UU18" i="3"/>
  <c r="UV18" i="3"/>
  <c r="UW18" i="3"/>
  <c r="UX18" i="3"/>
  <c r="UY18" i="3"/>
  <c r="UZ18" i="3"/>
  <c r="VA18" i="3"/>
  <c r="VB18" i="3"/>
  <c r="VC18" i="3"/>
  <c r="VD18" i="3"/>
  <c r="VE18" i="3"/>
  <c r="VF18" i="3"/>
  <c r="VG18" i="3"/>
  <c r="VH18" i="3"/>
  <c r="JP18" i="3"/>
  <c r="JQ18" i="3"/>
  <c r="JR18" i="3"/>
  <c r="JS18" i="3"/>
  <c r="JT18" i="3"/>
  <c r="JU18" i="3"/>
  <c r="JV18" i="3"/>
  <c r="JW18" i="3"/>
  <c r="JX18" i="3"/>
  <c r="JY18" i="3"/>
  <c r="JZ18" i="3"/>
  <c r="KA18" i="3"/>
  <c r="KB18" i="3"/>
  <c r="KC18" i="3"/>
  <c r="KD18" i="3"/>
  <c r="KE18" i="3"/>
  <c r="KF18" i="3"/>
  <c r="KG18" i="3"/>
  <c r="KH18" i="3"/>
  <c r="KI18" i="3"/>
  <c r="KJ18" i="3"/>
  <c r="KK18" i="3"/>
  <c r="KL18" i="3"/>
  <c r="KM18" i="3"/>
  <c r="KN18" i="3"/>
  <c r="KO18" i="3"/>
  <c r="KP18" i="3"/>
  <c r="KQ18" i="3"/>
  <c r="KR18" i="3"/>
  <c r="KS18" i="3"/>
  <c r="KT18" i="3"/>
  <c r="KU18" i="3"/>
  <c r="KV18" i="3"/>
  <c r="KW18" i="3"/>
  <c r="KX18" i="3"/>
  <c r="KY18" i="3"/>
  <c r="KZ18" i="3"/>
  <c r="LA18" i="3"/>
  <c r="LB18" i="3"/>
  <c r="LC18" i="3"/>
  <c r="LD18" i="3"/>
  <c r="LE18" i="3"/>
  <c r="LF18" i="3"/>
  <c r="LG18" i="3"/>
  <c r="LH18" i="3"/>
  <c r="LI18" i="3"/>
  <c r="LJ18" i="3"/>
  <c r="LK18" i="3"/>
  <c r="LL18" i="3"/>
  <c r="LM18" i="3"/>
  <c r="LN18" i="3"/>
  <c r="LO18" i="3"/>
  <c r="LP18" i="3"/>
  <c r="LQ18" i="3"/>
  <c r="LR18" i="3"/>
  <c r="LS18" i="3"/>
  <c r="LT18" i="3"/>
  <c r="LU18" i="3"/>
  <c r="LV18" i="3"/>
  <c r="LW18" i="3"/>
  <c r="LX18" i="3"/>
  <c r="LY18" i="3"/>
  <c r="LZ18" i="3"/>
  <c r="MA18" i="3"/>
  <c r="MB18" i="3"/>
  <c r="MC18" i="3"/>
  <c r="MD18" i="3"/>
  <c r="C57" i="1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FT18" i="3"/>
  <c r="FU18" i="3"/>
  <c r="FV18" i="3"/>
  <c r="FW18" i="3"/>
  <c r="FX18" i="3"/>
  <c r="FY18" i="3"/>
  <c r="FZ18" i="3"/>
  <c r="GA18" i="3"/>
  <c r="GB18" i="3"/>
  <c r="GC18" i="3"/>
  <c r="GD18" i="3"/>
  <c r="GE18" i="3"/>
  <c r="GF18" i="3"/>
  <c r="GG18" i="3"/>
  <c r="GH18" i="3"/>
  <c r="GI18" i="3"/>
  <c r="GJ18" i="3"/>
  <c r="GK18" i="3"/>
  <c r="GL18" i="3"/>
  <c r="GM18" i="3"/>
  <c r="GN18" i="3"/>
  <c r="GO18" i="3"/>
  <c r="GP18" i="3"/>
  <c r="GQ18" i="3"/>
  <c r="GR18" i="3"/>
  <c r="GS18" i="3"/>
  <c r="GT18" i="3"/>
  <c r="GU18" i="3"/>
  <c r="GV18" i="3"/>
  <c r="GW18" i="3"/>
  <c r="GX18" i="3"/>
  <c r="GY18" i="3"/>
  <c r="GZ18" i="3"/>
  <c r="HA18" i="3"/>
  <c r="HB18" i="3"/>
  <c r="HC18" i="3"/>
  <c r="HD18" i="3"/>
  <c r="HE18" i="3"/>
  <c r="HF18" i="3"/>
  <c r="HG18" i="3"/>
  <c r="HH18" i="3"/>
  <c r="HI18" i="3"/>
  <c r="HJ18" i="3"/>
  <c r="HK18" i="3"/>
  <c r="HL18" i="3"/>
  <c r="HM18" i="3"/>
  <c r="HN18" i="3"/>
  <c r="HO18" i="3"/>
  <c r="HP18" i="3"/>
  <c r="HQ18" i="3"/>
  <c r="HR18" i="3"/>
  <c r="HS18" i="3"/>
  <c r="HT18" i="3"/>
  <c r="HU18" i="3"/>
  <c r="HV18" i="3"/>
  <c r="HW18" i="3"/>
  <c r="HX18" i="3"/>
  <c r="HY18" i="3"/>
  <c r="HZ18" i="3"/>
  <c r="IA18" i="3"/>
  <c r="IB18" i="3"/>
  <c r="IC18" i="3"/>
  <c r="ID18" i="3"/>
  <c r="IE18" i="3"/>
  <c r="IF18" i="3"/>
  <c r="IG18" i="3"/>
  <c r="IH18" i="3"/>
  <c r="II18" i="3"/>
  <c r="IJ18" i="3"/>
  <c r="IK18" i="3"/>
  <c r="IL18" i="3"/>
  <c r="IM18" i="3"/>
  <c r="IN18" i="3"/>
  <c r="IO18" i="3"/>
  <c r="IP18" i="3"/>
  <c r="IQ18" i="3"/>
  <c r="IR18" i="3"/>
  <c r="IS18" i="3"/>
  <c r="IT18" i="3"/>
  <c r="IU18" i="3"/>
  <c r="IV18" i="3"/>
  <c r="IW18" i="3"/>
  <c r="IX18" i="3"/>
  <c r="IY18" i="3"/>
  <c r="IZ18" i="3"/>
  <c r="JA18" i="3"/>
  <c r="JB18" i="3"/>
  <c r="JC18" i="3"/>
  <c r="JD18" i="3"/>
  <c r="JE18" i="3"/>
  <c r="JF18" i="3"/>
  <c r="JG18" i="3"/>
  <c r="JH18" i="3"/>
  <c r="JI18" i="3"/>
  <c r="JJ18" i="3"/>
  <c r="JK18" i="3"/>
  <c r="JL18" i="3"/>
  <c r="JM18" i="3"/>
  <c r="JN18" i="3"/>
  <c r="JO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D18" i="3"/>
  <c r="C18" i="3"/>
  <c r="K22" i="3"/>
  <c r="R22" i="3" s="1"/>
  <c r="L22" i="3"/>
  <c r="L23" i="3" s="1"/>
  <c r="L3" i="4" s="1"/>
  <c r="M22" i="3"/>
  <c r="T22" i="3" s="1"/>
  <c r="AA22" i="3" s="1"/>
  <c r="AH22" i="3" s="1"/>
  <c r="AO22" i="3" s="1"/>
  <c r="AV22" i="3" s="1"/>
  <c r="BC22" i="3" s="1"/>
  <c r="BJ22" i="3" s="1"/>
  <c r="BQ22" i="3" s="1"/>
  <c r="BX22" i="3" s="1"/>
  <c r="CE22" i="3" s="1"/>
  <c r="CL22" i="3" s="1"/>
  <c r="CL23" i="3" s="1"/>
  <c r="N22" i="3"/>
  <c r="U22" i="3" s="1"/>
  <c r="AB22" i="3" s="1"/>
  <c r="AI22" i="3" s="1"/>
  <c r="AP22" i="3" s="1"/>
  <c r="AW22" i="3" s="1"/>
  <c r="BD22" i="3" s="1"/>
  <c r="BK22" i="3" s="1"/>
  <c r="BR22" i="3" s="1"/>
  <c r="BY22" i="3" s="1"/>
  <c r="O22" i="3"/>
  <c r="O23" i="3" s="1"/>
  <c r="P22" i="3"/>
  <c r="W22" i="3" s="1"/>
  <c r="AD22" i="3" s="1"/>
  <c r="AK22" i="3" s="1"/>
  <c r="AR22" i="3" s="1"/>
  <c r="AY22" i="3" s="1"/>
  <c r="BF22" i="3" s="1"/>
  <c r="BM22" i="3" s="1"/>
  <c r="BT22" i="3" s="1"/>
  <c r="CA22" i="3" s="1"/>
  <c r="CH22" i="3" s="1"/>
  <c r="CH23" i="3" s="1"/>
  <c r="J22" i="3"/>
  <c r="J23" i="3" s="1"/>
  <c r="D23" i="3"/>
  <c r="D3" i="4" s="1"/>
  <c r="E23" i="3"/>
  <c r="E3" i="4" s="1"/>
  <c r="F23" i="3"/>
  <c r="G23" i="3"/>
  <c r="H23" i="3"/>
  <c r="H3" i="4" s="1"/>
  <c r="I23" i="3"/>
  <c r="I3" i="4" s="1"/>
  <c r="D18" i="2"/>
  <c r="C43" i="1"/>
  <c r="G5" i="2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C30" i="1"/>
  <c r="C29" i="1"/>
  <c r="C28" i="1"/>
  <c r="C56" i="1"/>
  <c r="E56" i="1" s="1"/>
  <c r="D4" i="3" s="1"/>
  <c r="E55" i="1"/>
  <c r="D3" i="3" s="1"/>
  <c r="C46" i="1"/>
  <c r="C16" i="1"/>
  <c r="C45" i="3" l="1"/>
  <c r="E27" i="3"/>
  <c r="H27" i="3"/>
  <c r="D27" i="3"/>
  <c r="CH3" i="4"/>
  <c r="CH27" i="3"/>
  <c r="O3" i="4"/>
  <c r="O27" i="3"/>
  <c r="G3" i="4"/>
  <c r="G27" i="3"/>
  <c r="L27" i="3"/>
  <c r="I27" i="3"/>
  <c r="CL3" i="4"/>
  <c r="CL27" i="3"/>
  <c r="F3" i="4"/>
  <c r="F27" i="3"/>
  <c r="J3" i="4"/>
  <c r="J27" i="3"/>
  <c r="C3" i="4"/>
  <c r="C27" i="3"/>
  <c r="E76" i="1"/>
  <c r="C79" i="1" s="1"/>
  <c r="C64" i="3"/>
  <c r="E14" i="2" s="1"/>
  <c r="D63" i="3"/>
  <c r="D68" i="3" s="1"/>
  <c r="C65" i="3"/>
  <c r="C68" i="3"/>
  <c r="C26" i="3"/>
  <c r="L26" i="3"/>
  <c r="D26" i="3"/>
  <c r="CH26" i="3"/>
  <c r="H26" i="3"/>
  <c r="O26" i="3"/>
  <c r="CL26" i="3"/>
  <c r="I26" i="3"/>
  <c r="G26" i="3"/>
  <c r="F26" i="3"/>
  <c r="E26" i="3"/>
  <c r="J26" i="3"/>
  <c r="M5" i="2"/>
  <c r="F5" i="2"/>
  <c r="V5" i="2"/>
  <c r="U5" i="2"/>
  <c r="N5" i="2"/>
  <c r="E57" i="1"/>
  <c r="D5" i="3" s="1"/>
  <c r="S5" i="2"/>
  <c r="E5" i="2"/>
  <c r="R5" i="2"/>
  <c r="J5" i="2"/>
  <c r="Y5" i="2"/>
  <c r="Q5" i="2"/>
  <c r="I5" i="2"/>
  <c r="X5" i="2"/>
  <c r="P5" i="2"/>
  <c r="H5" i="2"/>
  <c r="T5" i="2"/>
  <c r="L5" i="2"/>
  <c r="K5" i="2"/>
  <c r="W5" i="2"/>
  <c r="O5" i="2"/>
  <c r="BX23" i="3"/>
  <c r="BX27" i="3" s="1"/>
  <c r="AA23" i="3"/>
  <c r="AA27" i="3" s="1"/>
  <c r="CF22" i="3"/>
  <c r="CM22" i="3" s="1"/>
  <c r="CT22" i="3" s="1"/>
  <c r="CT23" i="3" s="1"/>
  <c r="CT27" i="3" s="1"/>
  <c r="BY23" i="3"/>
  <c r="BY27" i="3" s="1"/>
  <c r="BQ23" i="3"/>
  <c r="BQ27" i="3" s="1"/>
  <c r="T23" i="3"/>
  <c r="T27" i="3" s="1"/>
  <c r="U23" i="3"/>
  <c r="U27" i="3" s="1"/>
  <c r="AY23" i="3"/>
  <c r="AY27" i="3" s="1"/>
  <c r="M23" i="3"/>
  <c r="M27" i="3" s="1"/>
  <c r="AR23" i="3"/>
  <c r="AR27" i="3" s="1"/>
  <c r="AK23" i="3"/>
  <c r="AK27" i="3" s="1"/>
  <c r="V22" i="3"/>
  <c r="AC22" i="3" s="1"/>
  <c r="AJ22" i="3" s="1"/>
  <c r="AQ22" i="3" s="1"/>
  <c r="AX22" i="3" s="1"/>
  <c r="BE22" i="3" s="1"/>
  <c r="BL22" i="3" s="1"/>
  <c r="BS22" i="3" s="1"/>
  <c r="BZ22" i="3" s="1"/>
  <c r="CG22" i="3" s="1"/>
  <c r="CN22" i="3" s="1"/>
  <c r="CU22" i="3" s="1"/>
  <c r="AI23" i="3"/>
  <c r="AI27" i="3" s="1"/>
  <c r="CS22" i="3"/>
  <c r="CE23" i="3"/>
  <c r="CE27" i="3" s="1"/>
  <c r="AB23" i="3"/>
  <c r="AB27" i="3" s="1"/>
  <c r="Y22" i="3"/>
  <c r="R23" i="3"/>
  <c r="R27" i="3" s="1"/>
  <c r="K23" i="3"/>
  <c r="K27" i="3" s="1"/>
  <c r="Q22" i="3"/>
  <c r="BF23" i="3"/>
  <c r="BF27" i="3" s="1"/>
  <c r="AP23" i="3"/>
  <c r="AP27" i="3" s="1"/>
  <c r="AH23" i="3"/>
  <c r="AH27" i="3" s="1"/>
  <c r="BM23" i="3"/>
  <c r="BM27" i="3" s="1"/>
  <c r="AW23" i="3"/>
  <c r="AW27" i="3" s="1"/>
  <c r="AO23" i="3"/>
  <c r="AO27" i="3" s="1"/>
  <c r="BT23" i="3"/>
  <c r="BT27" i="3" s="1"/>
  <c r="BD23" i="3"/>
  <c r="BD27" i="3" s="1"/>
  <c r="AV23" i="3"/>
  <c r="AV27" i="3" s="1"/>
  <c r="P23" i="3"/>
  <c r="P27" i="3" s="1"/>
  <c r="CA23" i="3"/>
  <c r="CA27" i="3" s="1"/>
  <c r="BK23" i="3"/>
  <c r="BK27" i="3" s="1"/>
  <c r="BC23" i="3"/>
  <c r="BC27" i="3" s="1"/>
  <c r="W23" i="3"/>
  <c r="W27" i="3" s="1"/>
  <c r="CO22" i="3"/>
  <c r="S22" i="3"/>
  <c r="BR23" i="3"/>
  <c r="BR27" i="3" s="1"/>
  <c r="BJ23" i="3"/>
  <c r="BJ27" i="3" s="1"/>
  <c r="AD23" i="3"/>
  <c r="AD27" i="3" s="1"/>
  <c r="N23" i="3"/>
  <c r="N27" i="3" s="1"/>
  <c r="D19" i="2"/>
  <c r="C32" i="1"/>
  <c r="D4" i="2" s="1"/>
  <c r="D21" i="2" l="1"/>
  <c r="C52" i="4" s="1"/>
  <c r="W3" i="4"/>
  <c r="R3" i="4"/>
  <c r="R25" i="3"/>
  <c r="AA3" i="4"/>
  <c r="BC3" i="4"/>
  <c r="AW3" i="4"/>
  <c r="M3" i="4"/>
  <c r="BX3" i="4"/>
  <c r="N3" i="4"/>
  <c r="BK3" i="4"/>
  <c r="BK25" i="3"/>
  <c r="BM3" i="4"/>
  <c r="AB3" i="4"/>
  <c r="AY3" i="4"/>
  <c r="AO3" i="4"/>
  <c r="AO25" i="3"/>
  <c r="AD3" i="4"/>
  <c r="AD25" i="3"/>
  <c r="CA3" i="4"/>
  <c r="CE3" i="4"/>
  <c r="U3" i="4"/>
  <c r="P3" i="4"/>
  <c r="BF3" i="4"/>
  <c r="BY3" i="4"/>
  <c r="BD3" i="4"/>
  <c r="BD25" i="3"/>
  <c r="CT3" i="4"/>
  <c r="AR3" i="4"/>
  <c r="AH3" i="4"/>
  <c r="BJ3" i="4"/>
  <c r="BJ25" i="3"/>
  <c r="AP3" i="4"/>
  <c r="T3" i="4"/>
  <c r="BR3" i="4"/>
  <c r="AV3" i="4"/>
  <c r="AI3" i="4"/>
  <c r="BQ3" i="4"/>
  <c r="BQ25" i="3"/>
  <c r="BT3" i="4"/>
  <c r="K3" i="4"/>
  <c r="AK3" i="4"/>
  <c r="C66" i="3"/>
  <c r="E16" i="2" s="1"/>
  <c r="D28" i="4" s="1"/>
  <c r="D64" i="3"/>
  <c r="F14" i="2" s="1"/>
  <c r="E15" i="2"/>
  <c r="D65" i="3"/>
  <c r="E63" i="3"/>
  <c r="E68" i="3" s="1"/>
  <c r="AI26" i="3"/>
  <c r="BR26" i="3"/>
  <c r="AV26" i="3"/>
  <c r="AP26" i="3"/>
  <c r="T26" i="3"/>
  <c r="AA26" i="3"/>
  <c r="BT26" i="3"/>
  <c r="AO26" i="3"/>
  <c r="AK26" i="3"/>
  <c r="BD26" i="3"/>
  <c r="BX26" i="3"/>
  <c r="W26" i="3"/>
  <c r="K26" i="3"/>
  <c r="BC26" i="3"/>
  <c r="AW26" i="3"/>
  <c r="R26" i="3"/>
  <c r="AR26" i="3"/>
  <c r="BF26" i="3"/>
  <c r="N26" i="3"/>
  <c r="BM26" i="3"/>
  <c r="M26" i="3"/>
  <c r="BY26" i="3"/>
  <c r="CA26" i="3"/>
  <c r="AY26" i="3"/>
  <c r="CT26" i="3"/>
  <c r="BQ26" i="3"/>
  <c r="BK26" i="3"/>
  <c r="AD26" i="3"/>
  <c r="AQ23" i="3"/>
  <c r="AB26" i="3"/>
  <c r="BJ26" i="3"/>
  <c r="P26" i="3"/>
  <c r="AH26" i="3"/>
  <c r="CE26" i="3"/>
  <c r="U26" i="3"/>
  <c r="BZ23" i="3"/>
  <c r="BZ27" i="3" s="1"/>
  <c r="BS23" i="3"/>
  <c r="BS27" i="3" s="1"/>
  <c r="BE23" i="3"/>
  <c r="BE27" i="3" s="1"/>
  <c r="AC23" i="3"/>
  <c r="DA22" i="3"/>
  <c r="DH22" i="3" s="1"/>
  <c r="CM23" i="3"/>
  <c r="CM27" i="3" s="1"/>
  <c r="D6" i="3"/>
  <c r="BM25" i="3" s="1"/>
  <c r="CF23" i="3"/>
  <c r="CF27" i="3" s="1"/>
  <c r="AJ23" i="3"/>
  <c r="AJ27" i="3" s="1"/>
  <c r="V23" i="3"/>
  <c r="V27" i="3" s="1"/>
  <c r="BL23" i="3"/>
  <c r="BL27" i="3" s="1"/>
  <c r="CG23" i="3"/>
  <c r="CG27" i="3" s="1"/>
  <c r="AX23" i="3"/>
  <c r="AX27" i="3" s="1"/>
  <c r="CN23" i="3"/>
  <c r="CN27" i="3" s="1"/>
  <c r="CZ22" i="3"/>
  <c r="CS23" i="3"/>
  <c r="CS27" i="3" s="1"/>
  <c r="X22" i="3"/>
  <c r="Q23" i="3"/>
  <c r="Q27" i="3" s="1"/>
  <c r="Z22" i="3"/>
  <c r="S23" i="3"/>
  <c r="S27" i="3" s="1"/>
  <c r="CV22" i="3"/>
  <c r="CO23" i="3"/>
  <c r="CO27" i="3" s="1"/>
  <c r="AF22" i="3"/>
  <c r="Y23" i="3"/>
  <c r="Y27" i="3" s="1"/>
  <c r="DB22" i="3"/>
  <c r="CU23" i="3"/>
  <c r="CU27" i="3" s="1"/>
  <c r="AI25" i="3" l="1"/>
  <c r="AK25" i="3"/>
  <c r="AR25" i="3"/>
  <c r="P25" i="3"/>
  <c r="BX25" i="3"/>
  <c r="BX28" i="3" s="1"/>
  <c r="T25" i="3"/>
  <c r="CT25" i="3"/>
  <c r="AB25" i="3"/>
  <c r="AB28" i="3" s="1"/>
  <c r="AW25" i="3"/>
  <c r="AP25" i="3"/>
  <c r="U25" i="3"/>
  <c r="AA25" i="3"/>
  <c r="AV25" i="3"/>
  <c r="AV28" i="3" s="1"/>
  <c r="CA25" i="3"/>
  <c r="M25" i="3"/>
  <c r="K25" i="3"/>
  <c r="BF25" i="3"/>
  <c r="BF28" i="3" s="1"/>
  <c r="G25" i="3"/>
  <c r="CH25" i="3"/>
  <c r="CH28" i="3" s="1"/>
  <c r="C28" i="3"/>
  <c r="F25" i="3"/>
  <c r="CL25" i="3"/>
  <c r="CL28" i="3" s="1"/>
  <c r="E25" i="3"/>
  <c r="O25" i="3"/>
  <c r="J25" i="3"/>
  <c r="L25" i="3"/>
  <c r="I25" i="3"/>
  <c r="D25" i="3"/>
  <c r="H25" i="3"/>
  <c r="W25" i="3"/>
  <c r="BT25" i="3"/>
  <c r="BR25" i="3"/>
  <c r="BR28" i="3" s="1"/>
  <c r="AH25" i="3"/>
  <c r="AH28" i="3" s="1"/>
  <c r="BY25" i="3"/>
  <c r="BY28" i="3" s="1"/>
  <c r="CE25" i="3"/>
  <c r="CE28" i="3" s="1"/>
  <c r="AY25" i="3"/>
  <c r="N25" i="3"/>
  <c r="BC25" i="3"/>
  <c r="BC28" i="3" s="1"/>
  <c r="D22" i="2"/>
  <c r="D23" i="2" s="1"/>
  <c r="D26" i="2" s="1"/>
  <c r="AC25" i="3"/>
  <c r="AC27" i="3"/>
  <c r="AQ25" i="3"/>
  <c r="AQ27" i="3"/>
  <c r="BS3" i="4"/>
  <c r="BS25" i="3"/>
  <c r="CU3" i="4"/>
  <c r="CU25" i="3"/>
  <c r="V3" i="4"/>
  <c r="V25" i="3"/>
  <c r="BZ3" i="4"/>
  <c r="BZ25" i="3"/>
  <c r="CS3" i="4"/>
  <c r="CS25" i="3"/>
  <c r="CM3" i="4"/>
  <c r="CM25" i="3"/>
  <c r="CO3" i="4"/>
  <c r="CO25" i="3"/>
  <c r="CN3" i="4"/>
  <c r="CN25" i="3"/>
  <c r="AJ3" i="4"/>
  <c r="AJ25" i="3"/>
  <c r="AX3" i="4"/>
  <c r="AX25" i="3"/>
  <c r="BL3" i="4"/>
  <c r="BL25" i="3"/>
  <c r="Q3" i="4"/>
  <c r="Q25" i="3"/>
  <c r="BE3" i="4"/>
  <c r="BE25" i="3"/>
  <c r="Y3" i="4"/>
  <c r="Y25" i="3"/>
  <c r="CF3" i="4"/>
  <c r="CF25" i="3"/>
  <c r="S3" i="4"/>
  <c r="S25" i="3"/>
  <c r="CG3" i="4"/>
  <c r="CG25" i="3"/>
  <c r="AC3" i="4"/>
  <c r="AQ3" i="4"/>
  <c r="E65" i="3"/>
  <c r="G15" i="2" s="1"/>
  <c r="D66" i="3"/>
  <c r="F16" i="2" s="1"/>
  <c r="E28" i="4" s="1"/>
  <c r="C35" i="3"/>
  <c r="E64" i="3"/>
  <c r="G14" i="2" s="1"/>
  <c r="F63" i="3"/>
  <c r="F68" i="3" s="1"/>
  <c r="F15" i="2"/>
  <c r="AI28" i="3"/>
  <c r="DA23" i="3"/>
  <c r="CS26" i="3"/>
  <c r="CO26" i="3"/>
  <c r="AJ26" i="3"/>
  <c r="CM26" i="3"/>
  <c r="BK28" i="3"/>
  <c r="AR28" i="3"/>
  <c r="BL26" i="3"/>
  <c r="CA28" i="3"/>
  <c r="AC26" i="3"/>
  <c r="AK28" i="3"/>
  <c r="BM28" i="3"/>
  <c r="S26" i="3"/>
  <c r="AX26" i="3"/>
  <c r="V26" i="3"/>
  <c r="BE26" i="3"/>
  <c r="BQ28" i="3"/>
  <c r="AA28" i="3"/>
  <c r="AP28" i="3"/>
  <c r="CU26" i="3"/>
  <c r="CN26" i="3"/>
  <c r="Y26" i="3"/>
  <c r="Q26" i="3"/>
  <c r="CG26" i="3"/>
  <c r="BS26" i="3"/>
  <c r="CT28" i="3"/>
  <c r="AW28" i="3"/>
  <c r="AO28" i="3"/>
  <c r="CF26" i="3"/>
  <c r="BZ26" i="3"/>
  <c r="AQ26" i="3"/>
  <c r="AD28" i="3"/>
  <c r="AY28" i="3"/>
  <c r="BD28" i="3"/>
  <c r="BT28" i="3"/>
  <c r="CZ23" i="3"/>
  <c r="CZ27" i="3" s="1"/>
  <c r="DG22" i="3"/>
  <c r="DO22" i="3"/>
  <c r="DH23" i="3"/>
  <c r="DH27" i="3" s="1"/>
  <c r="CV23" i="3"/>
  <c r="CV27" i="3" s="1"/>
  <c r="DC22" i="3"/>
  <c r="DB23" i="3"/>
  <c r="DB27" i="3" s="1"/>
  <c r="DI22" i="3"/>
  <c r="AG22" i="3"/>
  <c r="Z23" i="3"/>
  <c r="Z27" i="3" s="1"/>
  <c r="AM22" i="3"/>
  <c r="AF23" i="3"/>
  <c r="AF27" i="3" s="1"/>
  <c r="AE22" i="3"/>
  <c r="X23" i="3"/>
  <c r="X27" i="3" s="1"/>
  <c r="C36" i="3" l="1"/>
  <c r="C50" i="3"/>
  <c r="DA25" i="3"/>
  <c r="DA27" i="3"/>
  <c r="X3" i="4"/>
  <c r="X25" i="3"/>
  <c r="AF3" i="4"/>
  <c r="AF25" i="3"/>
  <c r="DH3" i="4"/>
  <c r="DH25" i="3"/>
  <c r="CV3" i="4"/>
  <c r="CV25" i="3"/>
  <c r="CZ3" i="4"/>
  <c r="CZ25" i="3"/>
  <c r="Z3" i="4"/>
  <c r="Z25" i="3"/>
  <c r="DB3" i="4"/>
  <c r="DB25" i="3"/>
  <c r="DA26" i="3"/>
  <c r="DA3" i="4"/>
  <c r="E66" i="3"/>
  <c r="G16" i="2" s="1"/>
  <c r="F28" i="4" s="1"/>
  <c r="G63" i="3"/>
  <c r="G68" i="3" s="1"/>
  <c r="F65" i="3"/>
  <c r="H15" i="2" s="1"/>
  <c r="BJ28" i="3"/>
  <c r="F64" i="3"/>
  <c r="H14" i="2" s="1"/>
  <c r="I28" i="3"/>
  <c r="G28" i="3"/>
  <c r="L28" i="3"/>
  <c r="W28" i="3"/>
  <c r="F28" i="3"/>
  <c r="R28" i="3"/>
  <c r="D28" i="3"/>
  <c r="M28" i="3"/>
  <c r="E28" i="3"/>
  <c r="P28" i="3"/>
  <c r="T28" i="3"/>
  <c r="J28" i="3"/>
  <c r="K28" i="3"/>
  <c r="U28" i="3"/>
  <c r="H28" i="3"/>
  <c r="N28" i="3"/>
  <c r="O28" i="3"/>
  <c r="D45" i="3"/>
  <c r="G45" i="3" s="1"/>
  <c r="D44" i="3"/>
  <c r="G44" i="3" s="1"/>
  <c r="Y28" i="3"/>
  <c r="CS28" i="3"/>
  <c r="CM28" i="3"/>
  <c r="CG28" i="3"/>
  <c r="CU28" i="3"/>
  <c r="BE28" i="3"/>
  <c r="AQ28" i="3"/>
  <c r="V28" i="3"/>
  <c r="BL28" i="3"/>
  <c r="AC28" i="3"/>
  <c r="CO28" i="3"/>
  <c r="AJ28" i="3"/>
  <c r="Z26" i="3"/>
  <c r="CZ26" i="3"/>
  <c r="AX28" i="3"/>
  <c r="CN28" i="3"/>
  <c r="S28" i="3"/>
  <c r="BZ28" i="3"/>
  <c r="DB26" i="3"/>
  <c r="Q28" i="3"/>
  <c r="CF28" i="3"/>
  <c r="CV26" i="3"/>
  <c r="AF26" i="3"/>
  <c r="DH26" i="3"/>
  <c r="BS28" i="3"/>
  <c r="C37" i="3"/>
  <c r="E9" i="2" s="1"/>
  <c r="X26" i="3"/>
  <c r="DN22" i="3"/>
  <c r="DG23" i="3"/>
  <c r="DG27" i="3" s="1"/>
  <c r="DP22" i="3"/>
  <c r="DI23" i="3"/>
  <c r="DI27" i="3" s="1"/>
  <c r="DC23" i="3"/>
  <c r="DC27" i="3" s="1"/>
  <c r="DJ22" i="3"/>
  <c r="AL22" i="3"/>
  <c r="AE23" i="3"/>
  <c r="AE27" i="3" s="1"/>
  <c r="AN22" i="3"/>
  <c r="AG23" i="3"/>
  <c r="AG27" i="3" s="1"/>
  <c r="AT22" i="3"/>
  <c r="AM23" i="3"/>
  <c r="AM27" i="3" s="1"/>
  <c r="DV22" i="3"/>
  <c r="DO23" i="3"/>
  <c r="DO27" i="3" s="1"/>
  <c r="G46" i="3" l="1"/>
  <c r="AG3" i="4"/>
  <c r="AG25" i="3"/>
  <c r="DG3" i="4"/>
  <c r="DG25" i="3"/>
  <c r="AE3" i="4"/>
  <c r="AE25" i="3"/>
  <c r="DO3" i="4"/>
  <c r="DO25" i="3"/>
  <c r="DC3" i="4"/>
  <c r="DC25" i="3"/>
  <c r="AM3" i="4"/>
  <c r="AM25" i="3"/>
  <c r="DI3" i="4"/>
  <c r="DI25" i="3"/>
  <c r="C39" i="3"/>
  <c r="E10" i="2" s="1"/>
  <c r="G65" i="3"/>
  <c r="I15" i="2" s="1"/>
  <c r="H63" i="3"/>
  <c r="H68" i="3" s="1"/>
  <c r="G64" i="3"/>
  <c r="I14" i="2" s="1"/>
  <c r="F66" i="3"/>
  <c r="H16" i="2" s="1"/>
  <c r="G28" i="4" s="1"/>
  <c r="DA28" i="3"/>
  <c r="DH28" i="3"/>
  <c r="X28" i="3"/>
  <c r="C40" i="3" s="1"/>
  <c r="E11" i="2" s="1"/>
  <c r="AF28" i="3"/>
  <c r="CZ28" i="3"/>
  <c r="Z28" i="3"/>
  <c r="DO26" i="3"/>
  <c r="AE26" i="3"/>
  <c r="DB28" i="3"/>
  <c r="CV28" i="3"/>
  <c r="DC26" i="3"/>
  <c r="AM26" i="3"/>
  <c r="DI26" i="3"/>
  <c r="AG26" i="3"/>
  <c r="DG26" i="3"/>
  <c r="DN23" i="3"/>
  <c r="DN27" i="3" s="1"/>
  <c r="DU22" i="3"/>
  <c r="AU22" i="3"/>
  <c r="AN23" i="3"/>
  <c r="AN27" i="3" s="1"/>
  <c r="AS22" i="3"/>
  <c r="AL23" i="3"/>
  <c r="AL27" i="3" s="1"/>
  <c r="DQ22" i="3"/>
  <c r="DJ23" i="3"/>
  <c r="DJ27" i="3" s="1"/>
  <c r="EC22" i="3"/>
  <c r="DV23" i="3"/>
  <c r="DV27" i="3" s="1"/>
  <c r="BA22" i="3"/>
  <c r="AT23" i="3"/>
  <c r="AT27" i="3" s="1"/>
  <c r="DW22" i="3"/>
  <c r="DP23" i="3"/>
  <c r="DP27" i="3" s="1"/>
  <c r="H65" i="3" l="1"/>
  <c r="J15" i="2" s="1"/>
  <c r="AT3" i="4"/>
  <c r="AT25" i="3"/>
  <c r="AN3" i="4"/>
  <c r="AN25" i="3"/>
  <c r="DV3" i="4"/>
  <c r="DV25" i="3"/>
  <c r="DJ3" i="4"/>
  <c r="DJ25" i="3"/>
  <c r="DN3" i="4"/>
  <c r="DN25" i="3"/>
  <c r="DP3" i="4"/>
  <c r="DP25" i="3"/>
  <c r="AL3" i="4"/>
  <c r="AL25" i="3"/>
  <c r="I63" i="3"/>
  <c r="I68" i="3" s="1"/>
  <c r="E19" i="2"/>
  <c r="D27" i="4"/>
  <c r="G66" i="3"/>
  <c r="I16" i="2" s="1"/>
  <c r="H28" i="4" s="1"/>
  <c r="H64" i="3"/>
  <c r="J14" i="2" s="1"/>
  <c r="DI28" i="3"/>
  <c r="AE28" i="3"/>
  <c r="AG28" i="3"/>
  <c r="DC28" i="3"/>
  <c r="AL26" i="3"/>
  <c r="DP26" i="3"/>
  <c r="AT26" i="3"/>
  <c r="AN26" i="3"/>
  <c r="DG28" i="3"/>
  <c r="DV26" i="3"/>
  <c r="AM28" i="3"/>
  <c r="DN26" i="3"/>
  <c r="DJ26" i="3"/>
  <c r="DO28" i="3"/>
  <c r="EB22" i="3"/>
  <c r="DU23" i="3"/>
  <c r="DU27" i="3" s="1"/>
  <c r="EC23" i="3"/>
  <c r="EC27" i="3" s="1"/>
  <c r="EJ22" i="3"/>
  <c r="DX22" i="3"/>
  <c r="DQ23" i="3"/>
  <c r="DQ27" i="3" s="1"/>
  <c r="DW23" i="3"/>
  <c r="DW27" i="3" s="1"/>
  <c r="ED22" i="3"/>
  <c r="AZ22" i="3"/>
  <c r="AS23" i="3"/>
  <c r="AS27" i="3" s="1"/>
  <c r="BH22" i="3"/>
  <c r="BA23" i="3"/>
  <c r="BA27" i="3" s="1"/>
  <c r="BB22" i="3"/>
  <c r="AU23" i="3"/>
  <c r="AU27" i="3" s="1"/>
  <c r="J63" i="3" l="1"/>
  <c r="J68" i="3" s="1"/>
  <c r="DW3" i="4"/>
  <c r="DW25" i="3"/>
  <c r="AU3" i="4"/>
  <c r="AU25" i="3"/>
  <c r="DQ3" i="4"/>
  <c r="DQ25" i="3"/>
  <c r="BA3" i="4"/>
  <c r="BA25" i="3"/>
  <c r="EC3" i="4"/>
  <c r="EC25" i="3"/>
  <c r="AS3" i="4"/>
  <c r="AS25" i="3"/>
  <c r="DU3" i="4"/>
  <c r="DU25" i="3"/>
  <c r="I64" i="3"/>
  <c r="K14" i="2" s="1"/>
  <c r="I65" i="3"/>
  <c r="K15" i="2" s="1"/>
  <c r="H66" i="3"/>
  <c r="J16" i="2" s="1"/>
  <c r="I28" i="4" s="1"/>
  <c r="D52" i="4"/>
  <c r="DN28" i="3"/>
  <c r="DV28" i="3"/>
  <c r="DJ28" i="3"/>
  <c r="AN28" i="3"/>
  <c r="DW26" i="3"/>
  <c r="AU26" i="3"/>
  <c r="AT28" i="3"/>
  <c r="DQ26" i="3"/>
  <c r="BA26" i="3"/>
  <c r="AL28" i="3"/>
  <c r="EC26" i="3"/>
  <c r="DP28" i="3"/>
  <c r="AS26" i="3"/>
  <c r="DU26" i="3"/>
  <c r="EB23" i="3"/>
  <c r="EB27" i="3" s="1"/>
  <c r="EI22" i="3"/>
  <c r="BG22" i="3"/>
  <c r="AZ23" i="3"/>
  <c r="AZ27" i="3" s="1"/>
  <c r="EK22" i="3"/>
  <c r="ED23" i="3"/>
  <c r="ED27" i="3" s="1"/>
  <c r="BI22" i="3"/>
  <c r="BB23" i="3"/>
  <c r="BB27" i="3" s="1"/>
  <c r="EE22" i="3"/>
  <c r="DX23" i="3"/>
  <c r="DX27" i="3" s="1"/>
  <c r="EQ22" i="3"/>
  <c r="EJ23" i="3"/>
  <c r="EJ27" i="3" s="1"/>
  <c r="BO22" i="3"/>
  <c r="BH23" i="3"/>
  <c r="BH27" i="3" s="1"/>
  <c r="J64" i="3" l="1"/>
  <c r="L14" i="2" s="1"/>
  <c r="J65" i="3"/>
  <c r="J66" i="3" s="1"/>
  <c r="L16" i="2" s="1"/>
  <c r="K28" i="4" s="1"/>
  <c r="K63" i="3"/>
  <c r="K68" i="3" s="1"/>
  <c r="ED3" i="4"/>
  <c r="ED25" i="3"/>
  <c r="BH3" i="4"/>
  <c r="BH25" i="3"/>
  <c r="EJ3" i="4"/>
  <c r="EJ25" i="3"/>
  <c r="AZ3" i="4"/>
  <c r="AZ25" i="3"/>
  <c r="DX3" i="4"/>
  <c r="DX25" i="3"/>
  <c r="EB3" i="4"/>
  <c r="EB25" i="3"/>
  <c r="BB3" i="4"/>
  <c r="BB25" i="3"/>
  <c r="I66" i="3"/>
  <c r="K16" i="2" s="1"/>
  <c r="J28" i="4" s="1"/>
  <c r="K65" i="3"/>
  <c r="M15" i="2" s="1"/>
  <c r="K64" i="3"/>
  <c r="M14" i="2" s="1"/>
  <c r="DQ28" i="3"/>
  <c r="EC28" i="3"/>
  <c r="AU28" i="3"/>
  <c r="EJ26" i="3"/>
  <c r="AZ26" i="3"/>
  <c r="BH26" i="3"/>
  <c r="DX26" i="3"/>
  <c r="BA28" i="3"/>
  <c r="BB26" i="3"/>
  <c r="DU28" i="3"/>
  <c r="ED26" i="3"/>
  <c r="EB26" i="3"/>
  <c r="AS28" i="3"/>
  <c r="DW28" i="3"/>
  <c r="EP22" i="3"/>
  <c r="EI23" i="3"/>
  <c r="EI27" i="3" s="1"/>
  <c r="EL22" i="3"/>
  <c r="EE23" i="3"/>
  <c r="EE27" i="3" s="1"/>
  <c r="BP22" i="3"/>
  <c r="BI23" i="3"/>
  <c r="BI27" i="3" s="1"/>
  <c r="BV22" i="3"/>
  <c r="BO23" i="3"/>
  <c r="BO27" i="3" s="1"/>
  <c r="ER22" i="3"/>
  <c r="EK23" i="3"/>
  <c r="EK27" i="3" s="1"/>
  <c r="EQ23" i="3"/>
  <c r="EQ27" i="3" s="1"/>
  <c r="EX22" i="3"/>
  <c r="BN22" i="3"/>
  <c r="BG23" i="3"/>
  <c r="BG27" i="3" s="1"/>
  <c r="L63" i="3"/>
  <c r="L68" i="3" s="1"/>
  <c r="L15" i="2" l="1"/>
  <c r="BO3" i="4"/>
  <c r="BO25" i="3"/>
  <c r="EE3" i="4"/>
  <c r="EE25" i="3"/>
  <c r="BI3" i="4"/>
  <c r="BI25" i="3"/>
  <c r="BG3" i="4"/>
  <c r="BG25" i="3"/>
  <c r="EQ3" i="4"/>
  <c r="EQ25" i="3"/>
  <c r="EK3" i="4"/>
  <c r="EK25" i="3"/>
  <c r="EI3" i="4"/>
  <c r="EI25" i="3"/>
  <c r="L64" i="3"/>
  <c r="N14" i="2" s="1"/>
  <c r="L65" i="3"/>
  <c r="N15" i="2" s="1"/>
  <c r="BB28" i="3"/>
  <c r="K66" i="3"/>
  <c r="M16" i="2" s="1"/>
  <c r="L28" i="4" s="1"/>
  <c r="AZ28" i="3"/>
  <c r="EJ28" i="3"/>
  <c r="ED28" i="3"/>
  <c r="EE26" i="3"/>
  <c r="DX28" i="3"/>
  <c r="EQ26" i="3"/>
  <c r="EK26" i="3"/>
  <c r="BO26" i="3"/>
  <c r="BH28" i="3"/>
  <c r="EI26" i="3"/>
  <c r="EB28" i="3"/>
  <c r="BG26" i="3"/>
  <c r="D37" i="3"/>
  <c r="F9" i="2" s="1"/>
  <c r="BI26" i="3"/>
  <c r="EP23" i="3"/>
  <c r="EP27" i="3" s="1"/>
  <c r="EW22" i="3"/>
  <c r="EY22" i="3"/>
  <c r="ER23" i="3"/>
  <c r="ER27" i="3" s="1"/>
  <c r="CC22" i="3"/>
  <c r="BV23" i="3"/>
  <c r="BV27" i="3" s="1"/>
  <c r="BU22" i="3"/>
  <c r="BN23" i="3"/>
  <c r="BN27" i="3" s="1"/>
  <c r="BW22" i="3"/>
  <c r="BP23" i="3"/>
  <c r="BP27" i="3" s="1"/>
  <c r="FE22" i="3"/>
  <c r="EX23" i="3"/>
  <c r="EX27" i="3" s="1"/>
  <c r="ES22" i="3"/>
  <c r="EL23" i="3"/>
  <c r="EL27" i="3" s="1"/>
  <c r="M63" i="3"/>
  <c r="M68" i="3" s="1"/>
  <c r="EL3" i="4" l="1"/>
  <c r="EL25" i="3"/>
  <c r="EX3" i="4"/>
  <c r="EX25" i="3"/>
  <c r="EP3" i="4"/>
  <c r="EP25" i="3"/>
  <c r="BN3" i="4"/>
  <c r="BN25" i="3"/>
  <c r="ER3" i="4"/>
  <c r="ER25" i="3"/>
  <c r="BV3" i="4"/>
  <c r="BV25" i="3"/>
  <c r="BP3" i="4"/>
  <c r="BP25" i="3"/>
  <c r="L66" i="3"/>
  <c r="N16" i="2" s="1"/>
  <c r="M28" i="4" s="1"/>
  <c r="M64" i="3"/>
  <c r="O14" i="2" s="1"/>
  <c r="M65" i="3"/>
  <c r="EK28" i="3"/>
  <c r="BG28" i="3"/>
  <c r="BO28" i="3"/>
  <c r="BN26" i="3"/>
  <c r="EL26" i="3"/>
  <c r="EX26" i="3"/>
  <c r="ER26" i="3"/>
  <c r="EE28" i="3"/>
  <c r="EI28" i="3"/>
  <c r="BP26" i="3"/>
  <c r="EQ28" i="3"/>
  <c r="EP26" i="3"/>
  <c r="BI28" i="3"/>
  <c r="BV26" i="3"/>
  <c r="EW23" i="3"/>
  <c r="EW27" i="3" s="1"/>
  <c r="FD22" i="3"/>
  <c r="EY23" i="3"/>
  <c r="EY27" i="3" s="1"/>
  <c r="FF22" i="3"/>
  <c r="FL22" i="3"/>
  <c r="FE23" i="3"/>
  <c r="FE27" i="3" s="1"/>
  <c r="EZ22" i="3"/>
  <c r="ES23" i="3"/>
  <c r="ES27" i="3" s="1"/>
  <c r="CJ22" i="3"/>
  <c r="CC23" i="3"/>
  <c r="CC27" i="3" s="1"/>
  <c r="CD22" i="3"/>
  <c r="BW23" i="3"/>
  <c r="BW27" i="3" s="1"/>
  <c r="CB22" i="3"/>
  <c r="BU23" i="3"/>
  <c r="BU27" i="3" s="1"/>
  <c r="N63" i="3"/>
  <c r="N68" i="3" s="1"/>
  <c r="EY3" i="4" l="1"/>
  <c r="EY25" i="3"/>
  <c r="CC3" i="4"/>
  <c r="CC25" i="3"/>
  <c r="ES3" i="4"/>
  <c r="ES25" i="3"/>
  <c r="EW3" i="4"/>
  <c r="EW25" i="3"/>
  <c r="BU3" i="4"/>
  <c r="BU25" i="3"/>
  <c r="FE3" i="4"/>
  <c r="FE25" i="3"/>
  <c r="BW3" i="4"/>
  <c r="BW25" i="3"/>
  <c r="N64" i="3"/>
  <c r="P14" i="2" s="1"/>
  <c r="N65" i="3"/>
  <c r="P15" i="2" s="1"/>
  <c r="M66" i="3"/>
  <c r="O16" i="2" s="1"/>
  <c r="N28" i="4" s="1"/>
  <c r="EL28" i="3"/>
  <c r="ER28" i="3"/>
  <c r="EX28" i="3"/>
  <c r="BP28" i="3"/>
  <c r="EY26" i="3"/>
  <c r="EW26" i="3"/>
  <c r="CC26" i="3"/>
  <c r="ES26" i="3"/>
  <c r="BU26" i="3"/>
  <c r="FE26" i="3"/>
  <c r="BV28" i="3"/>
  <c r="EP28" i="3"/>
  <c r="BW26" i="3"/>
  <c r="BN28" i="3"/>
  <c r="O15" i="2"/>
  <c r="FK22" i="3"/>
  <c r="FD23" i="3"/>
  <c r="FD27" i="3" s="1"/>
  <c r="FG22" i="3"/>
  <c r="EZ23" i="3"/>
  <c r="EZ27" i="3" s="1"/>
  <c r="CI22" i="3"/>
  <c r="CB23" i="3"/>
  <c r="CB27" i="3" s="1"/>
  <c r="FS22" i="3"/>
  <c r="FL23" i="3"/>
  <c r="FL27" i="3" s="1"/>
  <c r="CK22" i="3"/>
  <c r="CD23" i="3"/>
  <c r="CD27" i="3" s="1"/>
  <c r="CJ23" i="3"/>
  <c r="CJ27" i="3" s="1"/>
  <c r="CQ22" i="3"/>
  <c r="FM22" i="3"/>
  <c r="FF23" i="3"/>
  <c r="FF27" i="3" s="1"/>
  <c r="O63" i="3"/>
  <c r="O68" i="3" s="1"/>
  <c r="CB3" i="4" l="1"/>
  <c r="CB25" i="3"/>
  <c r="EZ3" i="4"/>
  <c r="EZ25" i="3"/>
  <c r="CJ3" i="4"/>
  <c r="CJ25" i="3"/>
  <c r="FL3" i="4"/>
  <c r="FL25" i="3"/>
  <c r="FF3" i="4"/>
  <c r="FF25" i="3"/>
  <c r="CD3" i="4"/>
  <c r="CD25" i="3"/>
  <c r="FD3" i="4"/>
  <c r="FD25" i="3"/>
  <c r="N66" i="3"/>
  <c r="P16" i="2" s="1"/>
  <c r="O28" i="4" s="1"/>
  <c r="O65" i="3"/>
  <c r="Q15" i="2" s="1"/>
  <c r="O64" i="3"/>
  <c r="Q14" i="2" s="1"/>
  <c r="CC28" i="3"/>
  <c r="FE28" i="3"/>
  <c r="EW28" i="3"/>
  <c r="ES28" i="3"/>
  <c r="CJ26" i="3"/>
  <c r="EZ26" i="3"/>
  <c r="FD26" i="3"/>
  <c r="BU28" i="3"/>
  <c r="CD26" i="3"/>
  <c r="FL26" i="3"/>
  <c r="BW28" i="3"/>
  <c r="EY28" i="3"/>
  <c r="FF26" i="3"/>
  <c r="CB26" i="3"/>
  <c r="FK23" i="3"/>
  <c r="FK27" i="3" s="1"/>
  <c r="FR22" i="3"/>
  <c r="FN22" i="3"/>
  <c r="FG23" i="3"/>
  <c r="FG27" i="3" s="1"/>
  <c r="FS23" i="3"/>
  <c r="FS27" i="3" s="1"/>
  <c r="FZ22" i="3"/>
  <c r="CK23" i="3"/>
  <c r="CK27" i="3" s="1"/>
  <c r="CR22" i="3"/>
  <c r="FT22" i="3"/>
  <c r="FM23" i="3"/>
  <c r="FM27" i="3" s="1"/>
  <c r="CI23" i="3"/>
  <c r="CI27" i="3" s="1"/>
  <c r="CP22" i="3"/>
  <c r="CX22" i="3"/>
  <c r="CQ23" i="3"/>
  <c r="CQ27" i="3" s="1"/>
  <c r="P63" i="3"/>
  <c r="P68" i="3" s="1"/>
  <c r="CK3" i="4" l="1"/>
  <c r="CK25" i="3"/>
  <c r="CQ3" i="4"/>
  <c r="CQ25" i="3"/>
  <c r="FS3" i="4"/>
  <c r="FS25" i="3"/>
  <c r="FM3" i="4"/>
  <c r="FM25" i="3"/>
  <c r="FK3" i="4"/>
  <c r="FK25" i="3"/>
  <c r="FG3" i="4"/>
  <c r="FG25" i="3"/>
  <c r="CI3" i="4"/>
  <c r="CI25" i="3"/>
  <c r="E37" i="3"/>
  <c r="G9" i="2" s="1"/>
  <c r="FL28" i="3"/>
  <c r="P65" i="3"/>
  <c r="P64" i="3"/>
  <c r="R14" i="2" s="1"/>
  <c r="O66" i="3"/>
  <c r="Q16" i="2" s="1"/>
  <c r="P28" i="4" s="1"/>
  <c r="CJ28" i="3"/>
  <c r="EZ28" i="3"/>
  <c r="FS26" i="3"/>
  <c r="FG26" i="3"/>
  <c r="CI26" i="3"/>
  <c r="FM26" i="3"/>
  <c r="FF28" i="3"/>
  <c r="FK26" i="3"/>
  <c r="CK26" i="3"/>
  <c r="FD28" i="3"/>
  <c r="CB28" i="3"/>
  <c r="CQ26" i="3"/>
  <c r="CD28" i="3"/>
  <c r="FY22" i="3"/>
  <c r="FR23" i="3"/>
  <c r="FR27" i="3" s="1"/>
  <c r="FT23" i="3"/>
  <c r="FT27" i="3" s="1"/>
  <c r="GA22" i="3"/>
  <c r="CY22" i="3"/>
  <c r="CR23" i="3"/>
  <c r="CR27" i="3" s="1"/>
  <c r="GG22" i="3"/>
  <c r="FZ23" i="3"/>
  <c r="FZ27" i="3" s="1"/>
  <c r="FU22" i="3"/>
  <c r="FN23" i="3"/>
  <c r="FN27" i="3" s="1"/>
  <c r="DE22" i="3"/>
  <c r="CX23" i="3"/>
  <c r="CX27" i="3" s="1"/>
  <c r="CW22" i="3"/>
  <c r="CP23" i="3"/>
  <c r="CP27" i="3" s="1"/>
  <c r="Q63" i="3"/>
  <c r="Q68" i="3" s="1"/>
  <c r="CR3" i="4" l="1"/>
  <c r="CR25" i="3"/>
  <c r="FZ3" i="4"/>
  <c r="FZ25" i="3"/>
  <c r="FT3" i="4"/>
  <c r="FT25" i="3"/>
  <c r="CP3" i="4"/>
  <c r="CP25" i="3"/>
  <c r="CX3" i="4"/>
  <c r="CX25" i="3"/>
  <c r="FN3" i="4"/>
  <c r="FN25" i="3"/>
  <c r="FR3" i="4"/>
  <c r="FR25" i="3"/>
  <c r="P66" i="3"/>
  <c r="R16" i="2" s="1"/>
  <c r="Q28" i="4" s="1"/>
  <c r="R15" i="2"/>
  <c r="Q65" i="3"/>
  <c r="Q64" i="3"/>
  <c r="S14" i="2" s="1"/>
  <c r="FS28" i="3"/>
  <c r="CK28" i="3"/>
  <c r="CI28" i="3"/>
  <c r="FK28" i="3"/>
  <c r="FG28" i="3"/>
  <c r="CX26" i="3"/>
  <c r="CQ28" i="3"/>
  <c r="FR26" i="3"/>
  <c r="FT26" i="3"/>
  <c r="FZ26" i="3"/>
  <c r="FM28" i="3"/>
  <c r="FN26" i="3"/>
  <c r="CP26" i="3"/>
  <c r="CR26" i="3"/>
  <c r="GF22" i="3"/>
  <c r="FY23" i="3"/>
  <c r="FY27" i="3" s="1"/>
  <c r="GB22" i="3"/>
  <c r="FU23" i="3"/>
  <c r="FU27" i="3" s="1"/>
  <c r="DE23" i="3"/>
  <c r="DE27" i="3" s="1"/>
  <c r="DL22" i="3"/>
  <c r="GG23" i="3"/>
  <c r="GG27" i="3" s="1"/>
  <c r="GN22" i="3"/>
  <c r="DD22" i="3"/>
  <c r="CW23" i="3"/>
  <c r="CW27" i="3" s="1"/>
  <c r="CY23" i="3"/>
  <c r="CY27" i="3" s="1"/>
  <c r="DF22" i="3"/>
  <c r="GH22" i="3"/>
  <c r="GA23" i="3"/>
  <c r="GA27" i="3" s="1"/>
  <c r="R63" i="3"/>
  <c r="R68" i="3" s="1"/>
  <c r="FY3" i="4" l="1"/>
  <c r="FY25" i="3"/>
  <c r="GG3" i="4"/>
  <c r="GG25" i="3"/>
  <c r="CW3" i="4"/>
  <c r="CW25" i="3"/>
  <c r="GA3" i="4"/>
  <c r="GA25" i="3"/>
  <c r="DE3" i="4"/>
  <c r="DE25" i="3"/>
  <c r="FU3" i="4"/>
  <c r="FU25" i="3"/>
  <c r="CY3" i="4"/>
  <c r="CY25" i="3"/>
  <c r="Q66" i="3"/>
  <c r="S16" i="2" s="1"/>
  <c r="R28" i="4" s="1"/>
  <c r="R65" i="3"/>
  <c r="R64" i="3"/>
  <c r="T14" i="2" s="1"/>
  <c r="S15" i="2"/>
  <c r="CP28" i="3"/>
  <c r="FN28" i="3"/>
  <c r="FT28" i="3"/>
  <c r="FR28" i="3"/>
  <c r="GA26" i="3"/>
  <c r="GG26" i="3"/>
  <c r="DE26" i="3"/>
  <c r="FU26" i="3"/>
  <c r="CR28" i="3"/>
  <c r="CX28" i="3"/>
  <c r="CY26" i="3"/>
  <c r="CW26" i="3"/>
  <c r="FY26" i="3"/>
  <c r="FZ28" i="3"/>
  <c r="GM22" i="3"/>
  <c r="GF23" i="3"/>
  <c r="GF27" i="3" s="1"/>
  <c r="DD23" i="3"/>
  <c r="DD27" i="3" s="1"/>
  <c r="DK22" i="3"/>
  <c r="GU22" i="3"/>
  <c r="GN23" i="3"/>
  <c r="GN27" i="3" s="1"/>
  <c r="DS22" i="3"/>
  <c r="DL23" i="3"/>
  <c r="DL27" i="3" s="1"/>
  <c r="GB23" i="3"/>
  <c r="GB27" i="3" s="1"/>
  <c r="GI22" i="3"/>
  <c r="GO22" i="3"/>
  <c r="GH23" i="3"/>
  <c r="GH27" i="3" s="1"/>
  <c r="DM22" i="3"/>
  <c r="DF23" i="3"/>
  <c r="DF27" i="3" s="1"/>
  <c r="S63" i="3"/>
  <c r="S68" i="3" s="1"/>
  <c r="DL3" i="4" l="1"/>
  <c r="DL25" i="3"/>
  <c r="GN3" i="4"/>
  <c r="GN25" i="3"/>
  <c r="GH3" i="4"/>
  <c r="GH25" i="3"/>
  <c r="GB3" i="4"/>
  <c r="GB25" i="3"/>
  <c r="DF3" i="4"/>
  <c r="DF25" i="3"/>
  <c r="DD3" i="4"/>
  <c r="DD25" i="3"/>
  <c r="GF3" i="4"/>
  <c r="GF25" i="3"/>
  <c r="R66" i="3"/>
  <c r="T16" i="2" s="1"/>
  <c r="S28" i="4" s="1"/>
  <c r="T15" i="2"/>
  <c r="S64" i="3"/>
  <c r="S65" i="3"/>
  <c r="U15" i="2" s="1"/>
  <c r="DE28" i="3"/>
  <c r="FU28" i="3"/>
  <c r="CW28" i="3"/>
  <c r="CY28" i="3"/>
  <c r="GN26" i="3"/>
  <c r="GH26" i="3"/>
  <c r="DF26" i="3"/>
  <c r="GA28" i="3"/>
  <c r="DD26" i="3"/>
  <c r="GF26" i="3"/>
  <c r="GB26" i="3"/>
  <c r="DL26" i="3"/>
  <c r="FY28" i="3"/>
  <c r="GG28" i="3"/>
  <c r="U14" i="2"/>
  <c r="GM23" i="3"/>
  <c r="GM27" i="3" s="1"/>
  <c r="GT22" i="3"/>
  <c r="GP22" i="3"/>
  <c r="GI23" i="3"/>
  <c r="GI27" i="3" s="1"/>
  <c r="DT22" i="3"/>
  <c r="DM23" i="3"/>
  <c r="DM27" i="3" s="1"/>
  <c r="GU23" i="3"/>
  <c r="GU27" i="3" s="1"/>
  <c r="HB22" i="3"/>
  <c r="DZ22" i="3"/>
  <c r="DS23" i="3"/>
  <c r="DS27" i="3" s="1"/>
  <c r="DK23" i="3"/>
  <c r="DK27" i="3" s="1"/>
  <c r="DR22" i="3"/>
  <c r="GV22" i="3"/>
  <c r="GO23" i="3"/>
  <c r="GO27" i="3" s="1"/>
  <c r="T63" i="3"/>
  <c r="T68" i="3" s="1"/>
  <c r="GO3" i="4" l="1"/>
  <c r="GO25" i="3"/>
  <c r="DM3" i="4"/>
  <c r="DM25" i="3"/>
  <c r="GI3" i="4"/>
  <c r="GI25" i="3"/>
  <c r="DK3" i="4"/>
  <c r="DK25" i="3"/>
  <c r="GU3" i="4"/>
  <c r="GU25" i="3"/>
  <c r="DS3" i="4"/>
  <c r="DS25" i="3"/>
  <c r="GM3" i="4"/>
  <c r="GM25" i="3"/>
  <c r="S66" i="3"/>
  <c r="U16" i="2" s="1"/>
  <c r="T28" i="4" s="1"/>
  <c r="T64" i="3"/>
  <c r="V14" i="2" s="1"/>
  <c r="T65" i="3"/>
  <c r="V15" i="2" s="1"/>
  <c r="GF28" i="3"/>
  <c r="GB28" i="3"/>
  <c r="GN28" i="3"/>
  <c r="GH28" i="3"/>
  <c r="GI26" i="3"/>
  <c r="GM26" i="3"/>
  <c r="DS26" i="3"/>
  <c r="DF28" i="3"/>
  <c r="DD28" i="3"/>
  <c r="DK26" i="3"/>
  <c r="GU26" i="3"/>
  <c r="DL28" i="3"/>
  <c r="GO26" i="3"/>
  <c r="DM26" i="3"/>
  <c r="HA22" i="3"/>
  <c r="GT23" i="3"/>
  <c r="GT27" i="3" s="1"/>
  <c r="EG22" i="3"/>
  <c r="DZ23" i="3"/>
  <c r="DZ27" i="3" s="1"/>
  <c r="HB23" i="3"/>
  <c r="HB27" i="3" s="1"/>
  <c r="HI22" i="3"/>
  <c r="GV23" i="3"/>
  <c r="GV27" i="3" s="1"/>
  <c r="HC22" i="3"/>
  <c r="DT23" i="3"/>
  <c r="DT27" i="3" s="1"/>
  <c r="EA22" i="3"/>
  <c r="DR23" i="3"/>
  <c r="DR27" i="3" s="1"/>
  <c r="DY22" i="3"/>
  <c r="GW22" i="3"/>
  <c r="GP23" i="3"/>
  <c r="GP27" i="3" s="1"/>
  <c r="U63" i="3"/>
  <c r="U68" i="3" s="1"/>
  <c r="DT3" i="4" l="1"/>
  <c r="DT25" i="3"/>
  <c r="GT3" i="4"/>
  <c r="GT25" i="3"/>
  <c r="HB3" i="4"/>
  <c r="HB25" i="3"/>
  <c r="DZ3" i="4"/>
  <c r="DZ25" i="3"/>
  <c r="GV3" i="4"/>
  <c r="GV25" i="3"/>
  <c r="GP3" i="4"/>
  <c r="GP25" i="3"/>
  <c r="DR3" i="4"/>
  <c r="DR25" i="3"/>
  <c r="U64" i="3"/>
  <c r="W14" i="2" s="1"/>
  <c r="U65" i="3"/>
  <c r="W15" i="2" s="1"/>
  <c r="T66" i="3"/>
  <c r="V16" i="2" s="1"/>
  <c r="U28" i="4" s="1"/>
  <c r="GM28" i="3"/>
  <c r="GU28" i="3"/>
  <c r="DK28" i="3"/>
  <c r="GI28" i="3"/>
  <c r="DZ26" i="3"/>
  <c r="DR26" i="3"/>
  <c r="DM28" i="3"/>
  <c r="GT26" i="3"/>
  <c r="DT26" i="3"/>
  <c r="GO28" i="3"/>
  <c r="GV26" i="3"/>
  <c r="GP26" i="3"/>
  <c r="HB26" i="3"/>
  <c r="DS28" i="3"/>
  <c r="HH22" i="3"/>
  <c r="HA23" i="3"/>
  <c r="HA27" i="3" s="1"/>
  <c r="HI23" i="3"/>
  <c r="HI27" i="3" s="1"/>
  <c r="HP22" i="3"/>
  <c r="GW23" i="3"/>
  <c r="GW27" i="3" s="1"/>
  <c r="HD22" i="3"/>
  <c r="EA23" i="3"/>
  <c r="EA27" i="3" s="1"/>
  <c r="EH22" i="3"/>
  <c r="HJ22" i="3"/>
  <c r="HC23" i="3"/>
  <c r="HC27" i="3" s="1"/>
  <c r="DY23" i="3"/>
  <c r="DY27" i="3" s="1"/>
  <c r="EF22" i="3"/>
  <c r="EN22" i="3"/>
  <c r="EG23" i="3"/>
  <c r="EG27" i="3" s="1"/>
  <c r="V63" i="3"/>
  <c r="V68" i="3" s="1"/>
  <c r="DY3" i="4" l="1"/>
  <c r="DY25" i="3"/>
  <c r="HC3" i="4"/>
  <c r="HC25" i="3"/>
  <c r="EG3" i="4"/>
  <c r="EG25" i="3"/>
  <c r="HA3" i="4"/>
  <c r="HA25" i="3"/>
  <c r="HI3" i="4"/>
  <c r="HI25" i="3"/>
  <c r="EA3" i="4"/>
  <c r="EA25" i="3"/>
  <c r="GW3" i="4"/>
  <c r="GW25" i="3"/>
  <c r="U66" i="3"/>
  <c r="W16" i="2" s="1"/>
  <c r="V28" i="4" s="1"/>
  <c r="V64" i="3"/>
  <c r="X14" i="2" s="1"/>
  <c r="V65" i="3"/>
  <c r="GV28" i="3"/>
  <c r="DT28" i="3"/>
  <c r="GP28" i="3"/>
  <c r="GT28" i="3"/>
  <c r="DY26" i="3"/>
  <c r="HA26" i="3"/>
  <c r="HI26" i="3"/>
  <c r="HC26" i="3"/>
  <c r="DZ28" i="3"/>
  <c r="EA26" i="3"/>
  <c r="EG26" i="3"/>
  <c r="GW26" i="3"/>
  <c r="HB28" i="3"/>
  <c r="DR28" i="3"/>
  <c r="HO22" i="3"/>
  <c r="HH23" i="3"/>
  <c r="HH27" i="3" s="1"/>
  <c r="HQ22" i="3"/>
  <c r="HJ23" i="3"/>
  <c r="HJ27" i="3" s="1"/>
  <c r="HD23" i="3"/>
  <c r="HD27" i="3" s="1"/>
  <c r="HK22" i="3"/>
  <c r="EO22" i="3"/>
  <c r="EH23" i="3"/>
  <c r="EH27" i="3" s="1"/>
  <c r="EU22" i="3"/>
  <c r="EN23" i="3"/>
  <c r="EN27" i="3" s="1"/>
  <c r="EM22" i="3"/>
  <c r="EF23" i="3"/>
  <c r="EF27" i="3" s="1"/>
  <c r="HW22" i="3"/>
  <c r="HP23" i="3"/>
  <c r="HP27" i="3" s="1"/>
  <c r="W63" i="3"/>
  <c r="W68" i="3" s="1"/>
  <c r="EN3" i="4" l="1"/>
  <c r="EN25" i="3"/>
  <c r="HD3" i="4"/>
  <c r="HD25" i="3"/>
  <c r="HH3" i="4"/>
  <c r="HH25" i="3"/>
  <c r="EH3" i="4"/>
  <c r="EH25" i="3"/>
  <c r="HP3" i="4"/>
  <c r="HP25" i="3"/>
  <c r="EF3" i="4"/>
  <c r="EF25" i="3"/>
  <c r="HJ3" i="4"/>
  <c r="HJ25" i="3"/>
  <c r="V66" i="3"/>
  <c r="W64" i="3"/>
  <c r="Y14" i="2" s="1"/>
  <c r="W65" i="3"/>
  <c r="EG28" i="3"/>
  <c r="HA28" i="3"/>
  <c r="HI28" i="3"/>
  <c r="HD26" i="3"/>
  <c r="DY28" i="3"/>
  <c r="EF26" i="3"/>
  <c r="HJ26" i="3"/>
  <c r="HH26" i="3"/>
  <c r="GW28" i="3"/>
  <c r="HP26" i="3"/>
  <c r="EN26" i="3"/>
  <c r="EH26" i="3"/>
  <c r="HC28" i="3"/>
  <c r="EA28" i="3"/>
  <c r="X16" i="2"/>
  <c r="W28" i="4" s="1"/>
  <c r="X15" i="2"/>
  <c r="HV22" i="3"/>
  <c r="HO23" i="3"/>
  <c r="HO27" i="3" s="1"/>
  <c r="EU23" i="3"/>
  <c r="EU27" i="3" s="1"/>
  <c r="FB22" i="3"/>
  <c r="HR22" i="3"/>
  <c r="HK23" i="3"/>
  <c r="HK27" i="3" s="1"/>
  <c r="HX22" i="3"/>
  <c r="HQ23" i="3"/>
  <c r="HQ27" i="3" s="1"/>
  <c r="EV22" i="3"/>
  <c r="EO23" i="3"/>
  <c r="EO27" i="3" s="1"/>
  <c r="HW23" i="3"/>
  <c r="HW27" i="3" s="1"/>
  <c r="ID22" i="3"/>
  <c r="EM23" i="3"/>
  <c r="EM27" i="3" s="1"/>
  <c r="ET22" i="3"/>
  <c r="HQ3" i="4" l="1"/>
  <c r="HQ25" i="3"/>
  <c r="HK3" i="4"/>
  <c r="HK25" i="3"/>
  <c r="EM3" i="4"/>
  <c r="EM25" i="3"/>
  <c r="EU3" i="4"/>
  <c r="EU25" i="3"/>
  <c r="EO3" i="4"/>
  <c r="EO25" i="3"/>
  <c r="HW3" i="4"/>
  <c r="HW25" i="3"/>
  <c r="HO3" i="4"/>
  <c r="HO25" i="3"/>
  <c r="W66" i="3"/>
  <c r="Y16" i="2" s="1"/>
  <c r="X28" i="4" s="1"/>
  <c r="Y15" i="2"/>
  <c r="HH28" i="3"/>
  <c r="EH28" i="3"/>
  <c r="EF28" i="3"/>
  <c r="HP28" i="3"/>
  <c r="HJ28" i="3"/>
  <c r="HQ26" i="3"/>
  <c r="HO26" i="3"/>
  <c r="HW26" i="3"/>
  <c r="EU26" i="3"/>
  <c r="EO26" i="3"/>
  <c r="HD28" i="3"/>
  <c r="EN28" i="3"/>
  <c r="HK26" i="3"/>
  <c r="EM26" i="3"/>
  <c r="IC22" i="3"/>
  <c r="HV23" i="3"/>
  <c r="HV27" i="3" s="1"/>
  <c r="FC22" i="3"/>
  <c r="EV23" i="3"/>
  <c r="EV27" i="3" s="1"/>
  <c r="FA22" i="3"/>
  <c r="ET23" i="3"/>
  <c r="ET27" i="3" s="1"/>
  <c r="IE22" i="3"/>
  <c r="HX23" i="3"/>
  <c r="HX27" i="3" s="1"/>
  <c r="HY22" i="3"/>
  <c r="HR23" i="3"/>
  <c r="HR27" i="3" s="1"/>
  <c r="ID23" i="3"/>
  <c r="ID27" i="3" s="1"/>
  <c r="IK22" i="3"/>
  <c r="FI22" i="3"/>
  <c r="FB23" i="3"/>
  <c r="FB27" i="3" s="1"/>
  <c r="HV3" i="4" l="1"/>
  <c r="HV25" i="3"/>
  <c r="HR3" i="4"/>
  <c r="HR25" i="3"/>
  <c r="ET3" i="4"/>
  <c r="ET25" i="3"/>
  <c r="ID3" i="4"/>
  <c r="ID25" i="3"/>
  <c r="HX3" i="4"/>
  <c r="HX25" i="3"/>
  <c r="FB3" i="4"/>
  <c r="FB25" i="3"/>
  <c r="EV3" i="4"/>
  <c r="EV25" i="3"/>
  <c r="G37" i="3"/>
  <c r="I9" i="2" s="1"/>
  <c r="HO28" i="3"/>
  <c r="EU28" i="3"/>
  <c r="HK28" i="3"/>
  <c r="FB26" i="3"/>
  <c r="ET26" i="3"/>
  <c r="EM28" i="3"/>
  <c r="HX26" i="3"/>
  <c r="HQ28" i="3"/>
  <c r="ID26" i="3"/>
  <c r="HW28" i="3"/>
  <c r="EV26" i="3"/>
  <c r="HR26" i="3"/>
  <c r="HV26" i="3"/>
  <c r="EO28" i="3"/>
  <c r="IJ22" i="3"/>
  <c r="IC23" i="3"/>
  <c r="IC27" i="3" s="1"/>
  <c r="FP22" i="3"/>
  <c r="FI23" i="3"/>
  <c r="FI27" i="3" s="1"/>
  <c r="FH22" i="3"/>
  <c r="FA23" i="3"/>
  <c r="FA27" i="3" s="1"/>
  <c r="IF22" i="3"/>
  <c r="HY23" i="3"/>
  <c r="HY27" i="3" s="1"/>
  <c r="IK23" i="3"/>
  <c r="IK27" i="3" s="1"/>
  <c r="IR22" i="3"/>
  <c r="IE23" i="3"/>
  <c r="IE27" i="3" s="1"/>
  <c r="IL22" i="3"/>
  <c r="FC23" i="3"/>
  <c r="FC27" i="3" s="1"/>
  <c r="FJ22" i="3"/>
  <c r="IE3" i="4" l="1"/>
  <c r="IE25" i="3"/>
  <c r="FA3" i="4"/>
  <c r="FA25" i="3"/>
  <c r="FC3" i="4"/>
  <c r="FC25" i="3"/>
  <c r="FI3" i="4"/>
  <c r="FI25" i="3"/>
  <c r="IC3" i="4"/>
  <c r="IC25" i="3"/>
  <c r="IK3" i="4"/>
  <c r="IK25" i="3"/>
  <c r="HY3" i="4"/>
  <c r="HY25" i="3"/>
  <c r="HX28" i="3"/>
  <c r="HR28" i="3"/>
  <c r="FC26" i="3"/>
  <c r="ID28" i="3"/>
  <c r="FI26" i="3"/>
  <c r="EV28" i="3"/>
  <c r="FA26" i="3"/>
  <c r="IC26" i="3"/>
  <c r="HV28" i="3"/>
  <c r="IE26" i="3"/>
  <c r="IK26" i="3"/>
  <c r="ET28" i="3"/>
  <c r="HY26" i="3"/>
  <c r="FB28" i="3"/>
  <c r="IJ23" i="3"/>
  <c r="IJ27" i="3" s="1"/>
  <c r="IQ22" i="3"/>
  <c r="IR23" i="3"/>
  <c r="IR27" i="3" s="1"/>
  <c r="IY22" i="3"/>
  <c r="FP23" i="3"/>
  <c r="FP27" i="3" s="1"/>
  <c r="FW22" i="3"/>
  <c r="FH23" i="3"/>
  <c r="FH27" i="3" s="1"/>
  <c r="FO22" i="3"/>
  <c r="IF23" i="3"/>
  <c r="IF27" i="3" s="1"/>
  <c r="IM22" i="3"/>
  <c r="FJ23" i="3"/>
  <c r="FJ27" i="3" s="1"/>
  <c r="FQ22" i="3"/>
  <c r="IS22" i="3"/>
  <c r="IL23" i="3"/>
  <c r="IL27" i="3" s="1"/>
  <c r="IL3" i="4" l="1"/>
  <c r="IL25" i="3"/>
  <c r="FH3" i="4"/>
  <c r="FH25" i="3"/>
  <c r="FP3" i="4"/>
  <c r="FP25" i="3"/>
  <c r="IR3" i="4"/>
  <c r="IR25" i="3"/>
  <c r="IF3" i="4"/>
  <c r="IF25" i="3"/>
  <c r="FJ3" i="4"/>
  <c r="FJ25" i="3"/>
  <c r="IJ3" i="4"/>
  <c r="IJ25" i="3"/>
  <c r="IE28" i="3"/>
  <c r="FA28" i="3"/>
  <c r="FP26" i="3"/>
  <c r="HY28" i="3"/>
  <c r="IR26" i="3"/>
  <c r="IL26" i="3"/>
  <c r="IK28" i="3"/>
  <c r="FJ26" i="3"/>
  <c r="IJ26" i="3"/>
  <c r="FH26" i="3"/>
  <c r="IC28" i="3"/>
  <c r="IF26" i="3"/>
  <c r="FI28" i="3"/>
  <c r="FC28" i="3"/>
  <c r="IQ23" i="3"/>
  <c r="IQ27" i="3" s="1"/>
  <c r="IX22" i="3"/>
  <c r="FV22" i="3"/>
  <c r="FO23" i="3"/>
  <c r="FO27" i="3" s="1"/>
  <c r="IM23" i="3"/>
  <c r="IM27" i="3" s="1"/>
  <c r="IT22" i="3"/>
  <c r="GD22" i="3"/>
  <c r="FW23" i="3"/>
  <c r="FW27" i="3" s="1"/>
  <c r="IZ22" i="3"/>
  <c r="IS23" i="3"/>
  <c r="IS27" i="3" s="1"/>
  <c r="FX22" i="3"/>
  <c r="FQ23" i="3"/>
  <c r="FQ27" i="3" s="1"/>
  <c r="JF22" i="3"/>
  <c r="IY23" i="3"/>
  <c r="IY27" i="3" s="1"/>
  <c r="FO3" i="4" l="1"/>
  <c r="FO25" i="3"/>
  <c r="IM3" i="4"/>
  <c r="IM25" i="3"/>
  <c r="FQ3" i="4"/>
  <c r="FQ25" i="3"/>
  <c r="IS3" i="4"/>
  <c r="IS25" i="3"/>
  <c r="FW3" i="4"/>
  <c r="FW25" i="3"/>
  <c r="IQ3" i="4"/>
  <c r="IQ25" i="3"/>
  <c r="IY3" i="4"/>
  <c r="IY25" i="3"/>
  <c r="IR28" i="3"/>
  <c r="IL28" i="3"/>
  <c r="IJ28" i="3"/>
  <c r="IY26" i="3"/>
  <c r="FW26" i="3"/>
  <c r="FJ28" i="3"/>
  <c r="IM26" i="3"/>
  <c r="FH28" i="3"/>
  <c r="IF28" i="3"/>
  <c r="FQ26" i="3"/>
  <c r="FO26" i="3"/>
  <c r="IS26" i="3"/>
  <c r="FP28" i="3"/>
  <c r="IQ26" i="3"/>
  <c r="JE22" i="3"/>
  <c r="IX23" i="3"/>
  <c r="IX27" i="3" s="1"/>
  <c r="IZ23" i="3"/>
  <c r="IZ27" i="3" s="1"/>
  <c r="JG22" i="3"/>
  <c r="GK22" i="3"/>
  <c r="GD23" i="3"/>
  <c r="GD27" i="3" s="1"/>
  <c r="JA22" i="3"/>
  <c r="IT23" i="3"/>
  <c r="IT27" i="3" s="1"/>
  <c r="JM22" i="3"/>
  <c r="JF23" i="3"/>
  <c r="JF27" i="3" s="1"/>
  <c r="GE22" i="3"/>
  <c r="FX23" i="3"/>
  <c r="FX27" i="3" s="1"/>
  <c r="GC22" i="3"/>
  <c r="FV23" i="3"/>
  <c r="FV27" i="3" s="1"/>
  <c r="JF3" i="4" l="1"/>
  <c r="JF25" i="3"/>
  <c r="IX3" i="4"/>
  <c r="IX25" i="3"/>
  <c r="IT3" i="4"/>
  <c r="IT25" i="3"/>
  <c r="FX3" i="4"/>
  <c r="FX25" i="3"/>
  <c r="IZ3" i="4"/>
  <c r="IZ25" i="3"/>
  <c r="FV3" i="4"/>
  <c r="FV25" i="3"/>
  <c r="GD3" i="4"/>
  <c r="GD25" i="3"/>
  <c r="FO28" i="3"/>
  <c r="IS28" i="3"/>
  <c r="IQ28" i="3"/>
  <c r="FQ28" i="3"/>
  <c r="FV26" i="3"/>
  <c r="GD26" i="3"/>
  <c r="FX26" i="3"/>
  <c r="IY28" i="3"/>
  <c r="IZ26" i="3"/>
  <c r="JF26" i="3"/>
  <c r="IX26" i="3"/>
  <c r="IT26" i="3"/>
  <c r="FW28" i="3"/>
  <c r="IM28" i="3"/>
  <c r="JM23" i="3"/>
  <c r="JM27" i="3" s="1"/>
  <c r="JT22" i="3"/>
  <c r="JL22" i="3"/>
  <c r="JE23" i="3"/>
  <c r="JE27" i="3" s="1"/>
  <c r="JN22" i="3"/>
  <c r="JG23" i="3"/>
  <c r="JG27" i="3" s="1"/>
  <c r="JH22" i="3"/>
  <c r="JA23" i="3"/>
  <c r="JA27" i="3" s="1"/>
  <c r="GC23" i="3"/>
  <c r="GC27" i="3" s="1"/>
  <c r="GJ22" i="3"/>
  <c r="GK23" i="3"/>
  <c r="GK27" i="3" s="1"/>
  <c r="GR22" i="3"/>
  <c r="GL22" i="3"/>
  <c r="GE23" i="3"/>
  <c r="GE27" i="3" s="1"/>
  <c r="JM3" i="4" l="1"/>
  <c r="JM25" i="3"/>
  <c r="GC3" i="4"/>
  <c r="GC25" i="3"/>
  <c r="JA3" i="4"/>
  <c r="JA25" i="3"/>
  <c r="JE3" i="4"/>
  <c r="JE25" i="3"/>
  <c r="GK3" i="4"/>
  <c r="GK25" i="3"/>
  <c r="GE3" i="4"/>
  <c r="GE25" i="3"/>
  <c r="JG3" i="4"/>
  <c r="JG25" i="3"/>
  <c r="JF28" i="3"/>
  <c r="IX28" i="3"/>
  <c r="FV28" i="3"/>
  <c r="GK26" i="3"/>
  <c r="GC26" i="3"/>
  <c r="IZ28" i="3"/>
  <c r="JE26" i="3"/>
  <c r="IT28" i="3"/>
  <c r="JA26" i="3"/>
  <c r="FX28" i="3"/>
  <c r="JM26" i="3"/>
  <c r="GE26" i="3"/>
  <c r="JG26" i="3"/>
  <c r="GD28" i="3"/>
  <c r="JL23" i="3"/>
  <c r="JL27" i="3" s="1"/>
  <c r="JS22" i="3"/>
  <c r="JT23" i="3"/>
  <c r="JT27" i="3" s="1"/>
  <c r="KA22" i="3"/>
  <c r="JN23" i="3"/>
  <c r="JN27" i="3" s="1"/>
  <c r="JU22" i="3"/>
  <c r="GY22" i="3"/>
  <c r="GR23" i="3"/>
  <c r="GR27" i="3" s="1"/>
  <c r="GJ23" i="3"/>
  <c r="GJ27" i="3" s="1"/>
  <c r="GQ22" i="3"/>
  <c r="JH23" i="3"/>
  <c r="JH27" i="3" s="1"/>
  <c r="JO22" i="3"/>
  <c r="GL23" i="3"/>
  <c r="GL27" i="3" s="1"/>
  <c r="GS22" i="3"/>
  <c r="GL3" i="4" l="1"/>
  <c r="GL25" i="3"/>
  <c r="JL3" i="4"/>
  <c r="JL25" i="3"/>
  <c r="GJ3" i="4"/>
  <c r="GJ25" i="3"/>
  <c r="JN3" i="4"/>
  <c r="JN25" i="3"/>
  <c r="JH3" i="4"/>
  <c r="JH25" i="3"/>
  <c r="JT3" i="4"/>
  <c r="JT25" i="3"/>
  <c r="GR3" i="4"/>
  <c r="GR25" i="3"/>
  <c r="JM28" i="3"/>
  <c r="GC28" i="3"/>
  <c r="JA28" i="3"/>
  <c r="JN26" i="3"/>
  <c r="JL26" i="3"/>
  <c r="GK28" i="3"/>
  <c r="JT26" i="3"/>
  <c r="GJ26" i="3"/>
  <c r="JG28" i="3"/>
  <c r="JE28" i="3"/>
  <c r="GL26" i="3"/>
  <c r="JH26" i="3"/>
  <c r="GR26" i="3"/>
  <c r="GE28" i="3"/>
  <c r="JS23" i="3"/>
  <c r="JS27" i="3" s="1"/>
  <c r="JZ22" i="3"/>
  <c r="JO23" i="3"/>
  <c r="JO27" i="3" s="1"/>
  <c r="JV22" i="3"/>
  <c r="KH22" i="3"/>
  <c r="KA23" i="3"/>
  <c r="KA27" i="3" s="1"/>
  <c r="JU23" i="3"/>
  <c r="JU27" i="3" s="1"/>
  <c r="KB22" i="3"/>
  <c r="GS23" i="3"/>
  <c r="GS27" i="3" s="1"/>
  <c r="GZ22" i="3"/>
  <c r="GQ23" i="3"/>
  <c r="GQ27" i="3" s="1"/>
  <c r="GX22" i="3"/>
  <c r="HF22" i="3"/>
  <c r="GY23" i="3"/>
  <c r="GY27" i="3" s="1"/>
  <c r="JS3" i="4" l="1"/>
  <c r="JS25" i="3"/>
  <c r="GQ3" i="4"/>
  <c r="GQ25" i="3"/>
  <c r="GS3" i="4"/>
  <c r="GS25" i="3"/>
  <c r="KA3" i="4"/>
  <c r="KA25" i="3"/>
  <c r="JU3" i="4"/>
  <c r="JU25" i="3"/>
  <c r="GY3" i="4"/>
  <c r="GY25" i="3"/>
  <c r="JO3" i="4"/>
  <c r="JO25" i="3"/>
  <c r="JN28" i="3"/>
  <c r="JL28" i="3"/>
  <c r="GR28" i="3"/>
  <c r="GY26" i="3"/>
  <c r="JH28" i="3"/>
  <c r="JS26" i="3"/>
  <c r="KA26" i="3"/>
  <c r="JO26" i="3"/>
  <c r="GJ28" i="3"/>
  <c r="JT28" i="3"/>
  <c r="GQ26" i="3"/>
  <c r="GL28" i="3"/>
  <c r="GS26" i="3"/>
  <c r="JU26" i="3"/>
  <c r="JZ23" i="3"/>
  <c r="JZ27" i="3" s="1"/>
  <c r="KG22" i="3"/>
  <c r="KH23" i="3"/>
  <c r="KH27" i="3" s="1"/>
  <c r="KO22" i="3"/>
  <c r="KB23" i="3"/>
  <c r="KB27" i="3" s="1"/>
  <c r="KI22" i="3"/>
  <c r="JV23" i="3"/>
  <c r="JV27" i="3" s="1"/>
  <c r="KC22" i="3"/>
  <c r="HM22" i="3"/>
  <c r="HF23" i="3"/>
  <c r="HF27" i="3" s="1"/>
  <c r="HE22" i="3"/>
  <c r="GX23" i="3"/>
  <c r="GX27" i="3" s="1"/>
  <c r="GZ23" i="3"/>
  <c r="GZ27" i="3" s="1"/>
  <c r="HG22" i="3"/>
  <c r="JV3" i="4" l="1"/>
  <c r="JV25" i="3"/>
  <c r="GX3" i="4"/>
  <c r="GX25" i="3"/>
  <c r="KB3" i="4"/>
  <c r="KB25" i="3"/>
  <c r="JZ3" i="4"/>
  <c r="JZ25" i="3"/>
  <c r="GZ3" i="4"/>
  <c r="GZ25" i="3"/>
  <c r="HF3" i="4"/>
  <c r="HF25" i="3"/>
  <c r="KH3" i="4"/>
  <c r="KH25" i="3"/>
  <c r="KA28" i="3"/>
  <c r="JO28" i="3"/>
  <c r="JU28" i="3"/>
  <c r="GQ28" i="3"/>
  <c r="JV26" i="3"/>
  <c r="JS28" i="3"/>
  <c r="GZ26" i="3"/>
  <c r="GX26" i="3"/>
  <c r="GY28" i="3"/>
  <c r="KB26" i="3"/>
  <c r="HF26" i="3"/>
  <c r="GS28" i="3"/>
  <c r="JZ26" i="3"/>
  <c r="KH26" i="3"/>
  <c r="KI23" i="3"/>
  <c r="KI27" i="3" s="1"/>
  <c r="KP22" i="3"/>
  <c r="KO23" i="3"/>
  <c r="KO27" i="3" s="1"/>
  <c r="KV22" i="3"/>
  <c r="KC23" i="3"/>
  <c r="KC27" i="3" s="1"/>
  <c r="KJ22" i="3"/>
  <c r="KG23" i="3"/>
  <c r="KG27" i="3" s="1"/>
  <c r="KN22" i="3"/>
  <c r="HG23" i="3"/>
  <c r="HG27" i="3" s="1"/>
  <c r="HN22" i="3"/>
  <c r="HL22" i="3"/>
  <c r="HE23" i="3"/>
  <c r="HE27" i="3" s="1"/>
  <c r="HM23" i="3"/>
  <c r="HM27" i="3" s="1"/>
  <c r="HT22" i="3"/>
  <c r="HM3" i="4" l="1"/>
  <c r="HM25" i="3"/>
  <c r="KG3" i="4"/>
  <c r="KG25" i="3"/>
  <c r="HE3" i="4"/>
  <c r="HE25" i="3"/>
  <c r="KO3" i="4"/>
  <c r="KO25" i="3"/>
  <c r="KC3" i="4"/>
  <c r="KC25" i="3"/>
  <c r="KI3" i="4"/>
  <c r="KI25" i="3"/>
  <c r="HG3" i="4"/>
  <c r="HG25" i="3"/>
  <c r="JZ28" i="3"/>
  <c r="GZ28" i="3"/>
  <c r="HF28" i="3"/>
  <c r="JV28" i="3"/>
  <c r="GX28" i="3"/>
  <c r="HG26" i="3"/>
  <c r="KB28" i="3"/>
  <c r="HE26" i="3"/>
  <c r="KO26" i="3"/>
  <c r="HM26" i="3"/>
  <c r="KG26" i="3"/>
  <c r="KH28" i="3"/>
  <c r="KC26" i="3"/>
  <c r="KI26" i="3"/>
  <c r="LC22" i="3"/>
  <c r="KV23" i="3"/>
  <c r="KV27" i="3" s="1"/>
  <c r="KU22" i="3"/>
  <c r="KN23" i="3"/>
  <c r="KN27" i="3" s="1"/>
  <c r="KW22" i="3"/>
  <c r="KP23" i="3"/>
  <c r="KP27" i="3" s="1"/>
  <c r="KJ23" i="3"/>
  <c r="KJ27" i="3" s="1"/>
  <c r="KQ22" i="3"/>
  <c r="IA22" i="3"/>
  <c r="HT23" i="3"/>
  <c r="HT27" i="3" s="1"/>
  <c r="HL23" i="3"/>
  <c r="HL27" i="3" s="1"/>
  <c r="HS22" i="3"/>
  <c r="HN23" i="3"/>
  <c r="HN27" i="3" s="1"/>
  <c r="HU22" i="3"/>
  <c r="HN3" i="4" l="1"/>
  <c r="HN25" i="3"/>
  <c r="KV3" i="4"/>
  <c r="KV25" i="3"/>
  <c r="KN3" i="4"/>
  <c r="KN25" i="3"/>
  <c r="KP3" i="4"/>
  <c r="KP25" i="3"/>
  <c r="HL3" i="4"/>
  <c r="HL25" i="3"/>
  <c r="HT3" i="4"/>
  <c r="HT25" i="3"/>
  <c r="KJ3" i="4"/>
  <c r="KJ25" i="3"/>
  <c r="KO28" i="3"/>
  <c r="HM28" i="3"/>
  <c r="KI28" i="3"/>
  <c r="KN26" i="3"/>
  <c r="KJ26" i="3"/>
  <c r="HN26" i="3"/>
  <c r="KV26" i="3"/>
  <c r="HL26" i="3"/>
  <c r="KC28" i="3"/>
  <c r="KP26" i="3"/>
  <c r="HT26" i="3"/>
  <c r="KG28" i="3"/>
  <c r="HE28" i="3"/>
  <c r="HG28" i="3"/>
  <c r="KQ23" i="3"/>
  <c r="KQ27" i="3" s="1"/>
  <c r="KX22" i="3"/>
  <c r="LC23" i="3"/>
  <c r="LC27" i="3" s="1"/>
  <c r="LJ22" i="3"/>
  <c r="KW23" i="3"/>
  <c r="KW27" i="3" s="1"/>
  <c r="LD22" i="3"/>
  <c r="KU23" i="3"/>
  <c r="KU27" i="3" s="1"/>
  <c r="LB22" i="3"/>
  <c r="HU23" i="3"/>
  <c r="HU27" i="3" s="1"/>
  <c r="IB22" i="3"/>
  <c r="HS23" i="3"/>
  <c r="HS27" i="3" s="1"/>
  <c r="HZ22" i="3"/>
  <c r="IH22" i="3"/>
  <c r="IA23" i="3"/>
  <c r="IA27" i="3" s="1"/>
  <c r="KW3" i="4" l="1"/>
  <c r="KW25" i="3"/>
  <c r="KU3" i="4"/>
  <c r="KU25" i="3"/>
  <c r="LC3" i="4"/>
  <c r="LC25" i="3"/>
  <c r="IA3" i="4"/>
  <c r="IA25" i="3"/>
  <c r="KQ3" i="4"/>
  <c r="KQ25" i="3"/>
  <c r="HS3" i="4"/>
  <c r="HS25" i="3"/>
  <c r="HU3" i="4"/>
  <c r="HU25" i="3"/>
  <c r="KJ28" i="3"/>
  <c r="HL28" i="3"/>
  <c r="KU26" i="3"/>
  <c r="IA26" i="3"/>
  <c r="LC26" i="3"/>
  <c r="HU26" i="3"/>
  <c r="KW26" i="3"/>
  <c r="KQ26" i="3"/>
  <c r="KV28" i="3"/>
  <c r="KN28" i="3"/>
  <c r="HS26" i="3"/>
  <c r="KP28" i="3"/>
  <c r="HT28" i="3"/>
  <c r="HN28" i="3"/>
  <c r="LQ22" i="3"/>
  <c r="LJ23" i="3"/>
  <c r="LJ27" i="3" s="1"/>
  <c r="LD23" i="3"/>
  <c r="LD27" i="3" s="1"/>
  <c r="LK22" i="3"/>
  <c r="LE22" i="3"/>
  <c r="KX23" i="3"/>
  <c r="KX27" i="3" s="1"/>
  <c r="LB23" i="3"/>
  <c r="LB27" i="3" s="1"/>
  <c r="LI22" i="3"/>
  <c r="HZ23" i="3"/>
  <c r="HZ27" i="3" s="1"/>
  <c r="IG22" i="3"/>
  <c r="IO22" i="3"/>
  <c r="IH23" i="3"/>
  <c r="IH27" i="3" s="1"/>
  <c r="IB23" i="3"/>
  <c r="IB27" i="3" s="1"/>
  <c r="II22" i="3"/>
  <c r="LJ3" i="4" l="1"/>
  <c r="LJ25" i="3"/>
  <c r="LB3" i="4"/>
  <c r="LB25" i="3"/>
  <c r="IB3" i="4"/>
  <c r="IB25" i="3"/>
  <c r="IH3" i="4"/>
  <c r="IH25" i="3"/>
  <c r="KX3" i="4"/>
  <c r="KX25" i="3"/>
  <c r="HZ3" i="4"/>
  <c r="HZ25" i="3"/>
  <c r="LD3" i="4"/>
  <c r="LD25" i="3"/>
  <c r="IA28" i="3"/>
  <c r="HU28" i="3"/>
  <c r="LJ26" i="3"/>
  <c r="IH26" i="3"/>
  <c r="KX26" i="3"/>
  <c r="KW28" i="3"/>
  <c r="HZ26" i="3"/>
  <c r="LD26" i="3"/>
  <c r="LB26" i="3"/>
  <c r="IB26" i="3"/>
  <c r="HS28" i="3"/>
  <c r="KU28" i="3"/>
  <c r="KQ28" i="3"/>
  <c r="LC28" i="3"/>
  <c r="LL22" i="3"/>
  <c r="LE23" i="3"/>
  <c r="LE27" i="3" s="1"/>
  <c r="LX22" i="3"/>
  <c r="LQ23" i="3"/>
  <c r="LQ27" i="3" s="1"/>
  <c r="LR22" i="3"/>
  <c r="LK23" i="3"/>
  <c r="LK27" i="3" s="1"/>
  <c r="LP22" i="3"/>
  <c r="LI23" i="3"/>
  <c r="LI27" i="3" s="1"/>
  <c r="II23" i="3"/>
  <c r="II27" i="3" s="1"/>
  <c r="IP22" i="3"/>
  <c r="IO23" i="3"/>
  <c r="IO27" i="3" s="1"/>
  <c r="IV22" i="3"/>
  <c r="IN22" i="3"/>
  <c r="IG23" i="3"/>
  <c r="IG27" i="3" s="1"/>
  <c r="LI3" i="4" l="1"/>
  <c r="LI25" i="3"/>
  <c r="IG3" i="4"/>
  <c r="IG25" i="3"/>
  <c r="LE3" i="4"/>
  <c r="LE25" i="3"/>
  <c r="IO3" i="4"/>
  <c r="IO25" i="3"/>
  <c r="II3" i="4"/>
  <c r="II25" i="3"/>
  <c r="LK3" i="4"/>
  <c r="LK25" i="3"/>
  <c r="LQ3" i="4"/>
  <c r="LQ25" i="3"/>
  <c r="HZ28" i="3"/>
  <c r="LI26" i="3"/>
  <c r="LK26" i="3"/>
  <c r="LE26" i="3"/>
  <c r="KX28" i="3"/>
  <c r="II26" i="3"/>
  <c r="LQ26" i="3"/>
  <c r="IO26" i="3"/>
  <c r="IH28" i="3"/>
  <c r="IB28" i="3"/>
  <c r="LB28" i="3"/>
  <c r="J37" i="3"/>
  <c r="L9" i="2" s="1"/>
  <c r="IG26" i="3"/>
  <c r="LD28" i="3"/>
  <c r="LJ28" i="3"/>
  <c r="LP23" i="3"/>
  <c r="LP27" i="3" s="1"/>
  <c r="LW22" i="3"/>
  <c r="LX23" i="3"/>
  <c r="LX27" i="3" s="1"/>
  <c r="ME22" i="3"/>
  <c r="LS22" i="3"/>
  <c r="LL23" i="3"/>
  <c r="LL27" i="3" s="1"/>
  <c r="LR23" i="3"/>
  <c r="LR27" i="3" s="1"/>
  <c r="LY22" i="3"/>
  <c r="IU22" i="3"/>
  <c r="IN23" i="3"/>
  <c r="IN27" i="3" s="1"/>
  <c r="IV23" i="3"/>
  <c r="IV27" i="3" s="1"/>
  <c r="JC22" i="3"/>
  <c r="IP23" i="3"/>
  <c r="IP27" i="3" s="1"/>
  <c r="IW22" i="3"/>
  <c r="IV3" i="4" l="1"/>
  <c r="IV25" i="3"/>
  <c r="LL3" i="4"/>
  <c r="LL25" i="3"/>
  <c r="IN3" i="4"/>
  <c r="IN25" i="3"/>
  <c r="LR3" i="4"/>
  <c r="LR25" i="3"/>
  <c r="LX3" i="4"/>
  <c r="LX25" i="3"/>
  <c r="IP3" i="4"/>
  <c r="IP25" i="3"/>
  <c r="LP3" i="4"/>
  <c r="LP25" i="3"/>
  <c r="LE28" i="3"/>
  <c r="IO28" i="3"/>
  <c r="IG28" i="3"/>
  <c r="LI28" i="3"/>
  <c r="IV26" i="3"/>
  <c r="LR26" i="3"/>
  <c r="LK28" i="3"/>
  <c r="IN26" i="3"/>
  <c r="IP26" i="3"/>
  <c r="LX26" i="3"/>
  <c r="II28" i="3"/>
  <c r="LP26" i="3"/>
  <c r="LL26" i="3"/>
  <c r="LQ28" i="3"/>
  <c r="LZ22" i="3"/>
  <c r="LS23" i="3"/>
  <c r="LS27" i="3" s="1"/>
  <c r="ML22" i="3"/>
  <c r="ME23" i="3"/>
  <c r="ME27" i="3" s="1"/>
  <c r="MD22" i="3"/>
  <c r="LW23" i="3"/>
  <c r="LW27" i="3" s="1"/>
  <c r="LY23" i="3"/>
  <c r="LY27" i="3" s="1"/>
  <c r="MF22" i="3"/>
  <c r="IU23" i="3"/>
  <c r="IU27" i="3" s="1"/>
  <c r="JB22" i="3"/>
  <c r="IW23" i="3"/>
  <c r="IW27" i="3" s="1"/>
  <c r="JD22" i="3"/>
  <c r="JJ22" i="3"/>
  <c r="JC23" i="3"/>
  <c r="JC27" i="3" s="1"/>
  <c r="LS3" i="4" l="1"/>
  <c r="LS25" i="3"/>
  <c r="LW3" i="4"/>
  <c r="LW25" i="3"/>
  <c r="LY3" i="4"/>
  <c r="LY25" i="3"/>
  <c r="IW3" i="4"/>
  <c r="IW25" i="3"/>
  <c r="IU3" i="4"/>
  <c r="IU25" i="3"/>
  <c r="JC3" i="4"/>
  <c r="JC25" i="3"/>
  <c r="ME3" i="4"/>
  <c r="ME25" i="3"/>
  <c r="LP28" i="3"/>
  <c r="IP28" i="3"/>
  <c r="LR28" i="3"/>
  <c r="IN28" i="3"/>
  <c r="JC26" i="3"/>
  <c r="LW26" i="3"/>
  <c r="LX28" i="3"/>
  <c r="IV28" i="3"/>
  <c r="IW26" i="3"/>
  <c r="LY26" i="3"/>
  <c r="ME26" i="3"/>
  <c r="IU26" i="3"/>
  <c r="LS26" i="3"/>
  <c r="LL28" i="3"/>
  <c r="ML23" i="3"/>
  <c r="ML27" i="3" s="1"/>
  <c r="MS22" i="3"/>
  <c r="JJ23" i="3"/>
  <c r="JJ27" i="3" s="1"/>
  <c r="JQ22" i="3"/>
  <c r="LZ23" i="3"/>
  <c r="LZ27" i="3" s="1"/>
  <c r="MG22" i="3"/>
  <c r="MM22" i="3"/>
  <c r="MF23" i="3"/>
  <c r="MF27" i="3" s="1"/>
  <c r="MD23" i="3"/>
  <c r="MD27" i="3" s="1"/>
  <c r="MK22" i="3"/>
  <c r="JI22" i="3"/>
  <c r="JB23" i="3"/>
  <c r="JB27" i="3" s="1"/>
  <c r="JK22" i="3"/>
  <c r="JD23" i="3"/>
  <c r="JD27" i="3" s="1"/>
  <c r="MF3" i="4" l="1"/>
  <c r="MF25" i="3"/>
  <c r="JB3" i="4"/>
  <c r="JB25" i="3"/>
  <c r="ML3" i="4"/>
  <c r="ML25" i="3"/>
  <c r="MD3" i="4"/>
  <c r="MD25" i="3"/>
  <c r="LZ3" i="4"/>
  <c r="LZ25" i="3"/>
  <c r="JD3" i="4"/>
  <c r="JD25" i="3"/>
  <c r="JJ3" i="4"/>
  <c r="JJ25" i="3"/>
  <c r="ME28" i="3"/>
  <c r="LS28" i="3"/>
  <c r="LW28" i="3"/>
  <c r="IU28" i="3"/>
  <c r="JD26" i="3"/>
  <c r="JJ26" i="3"/>
  <c r="LZ26" i="3"/>
  <c r="LY28" i="3"/>
  <c r="JB26" i="3"/>
  <c r="MF26" i="3"/>
  <c r="ML26" i="3"/>
  <c r="MD26" i="3"/>
  <c r="JC28" i="3"/>
  <c r="IW28" i="3"/>
  <c r="JI23" i="3"/>
  <c r="JI27" i="3" s="1"/>
  <c r="JP22" i="3"/>
  <c r="JK23" i="3"/>
  <c r="JK27" i="3" s="1"/>
  <c r="JR22" i="3"/>
  <c r="MT22" i="3"/>
  <c r="MM23" i="3"/>
  <c r="MM27" i="3" s="1"/>
  <c r="JQ23" i="3"/>
  <c r="JQ27" i="3" s="1"/>
  <c r="JX22" i="3"/>
  <c r="MZ22" i="3"/>
  <c r="MS23" i="3"/>
  <c r="MS27" i="3" s="1"/>
  <c r="MN22" i="3"/>
  <c r="MG23" i="3"/>
  <c r="MG27" i="3" s="1"/>
  <c r="MR22" i="3"/>
  <c r="MK23" i="3"/>
  <c r="MK27" i="3" s="1"/>
  <c r="MG3" i="4" l="1"/>
  <c r="MG25" i="3"/>
  <c r="MK3" i="4"/>
  <c r="MK25" i="3"/>
  <c r="JI3" i="4"/>
  <c r="JI25" i="3"/>
  <c r="JQ3" i="4"/>
  <c r="JQ25" i="3"/>
  <c r="MS3" i="4"/>
  <c r="MS25" i="3"/>
  <c r="JK3" i="4"/>
  <c r="JK25" i="3"/>
  <c r="MM3" i="4"/>
  <c r="MM25" i="3"/>
  <c r="MF28" i="3"/>
  <c r="ML28" i="3"/>
  <c r="JJ28" i="3"/>
  <c r="JK26" i="3"/>
  <c r="MK26" i="3"/>
  <c r="MG26" i="3"/>
  <c r="JQ26" i="3"/>
  <c r="JD28" i="3"/>
  <c r="JI26" i="3"/>
  <c r="MM26" i="3"/>
  <c r="MS26" i="3"/>
  <c r="LZ28" i="3"/>
  <c r="JB28" i="3"/>
  <c r="MD28" i="3"/>
  <c r="MZ23" i="3"/>
  <c r="MZ27" i="3" s="1"/>
  <c r="NG22" i="3"/>
  <c r="JX23" i="3"/>
  <c r="JX27" i="3" s="1"/>
  <c r="KE22" i="3"/>
  <c r="MU22" i="3"/>
  <c r="MN23" i="3"/>
  <c r="MN27" i="3" s="1"/>
  <c r="MT23" i="3"/>
  <c r="MT27" i="3" s="1"/>
  <c r="NA22" i="3"/>
  <c r="MR23" i="3"/>
  <c r="MR27" i="3" s="1"/>
  <c r="MY22" i="3"/>
  <c r="JR23" i="3"/>
  <c r="JR27" i="3" s="1"/>
  <c r="JY22" i="3"/>
  <c r="JW22" i="3"/>
  <c r="JP23" i="3"/>
  <c r="JP27" i="3" s="1"/>
  <c r="MZ3" i="4" l="1"/>
  <c r="MZ25" i="3"/>
  <c r="JR3" i="4"/>
  <c r="JR25" i="3"/>
  <c r="JX3" i="4"/>
  <c r="JX25" i="3"/>
  <c r="JP3" i="4"/>
  <c r="JP25" i="3"/>
  <c r="MT3" i="4"/>
  <c r="MT25" i="3"/>
  <c r="MN3" i="4"/>
  <c r="MN25" i="3"/>
  <c r="MR3" i="4"/>
  <c r="MR25" i="3"/>
  <c r="MM28" i="3"/>
  <c r="JK28" i="3"/>
  <c r="JP26" i="3"/>
  <c r="JQ28" i="3"/>
  <c r="MT26" i="3"/>
  <c r="JR26" i="3"/>
  <c r="MZ26" i="3"/>
  <c r="MN26" i="3"/>
  <c r="MR26" i="3"/>
  <c r="MG28" i="3"/>
  <c r="MS28" i="3"/>
  <c r="JI28" i="3"/>
  <c r="MK28" i="3"/>
  <c r="JX26" i="3"/>
  <c r="KD22" i="3"/>
  <c r="JW23" i="3"/>
  <c r="JW27" i="3" s="1"/>
  <c r="NF22" i="3"/>
  <c r="MY23" i="3"/>
  <c r="MY27" i="3" s="1"/>
  <c r="NN22" i="3"/>
  <c r="NG23" i="3"/>
  <c r="NG27" i="3" s="1"/>
  <c r="MU23" i="3"/>
  <c r="MU27" i="3" s="1"/>
  <c r="NB22" i="3"/>
  <c r="NA23" i="3"/>
  <c r="NA27" i="3" s="1"/>
  <c r="NH22" i="3"/>
  <c r="KF22" i="3"/>
  <c r="JY23" i="3"/>
  <c r="JY27" i="3" s="1"/>
  <c r="KE23" i="3"/>
  <c r="KE27" i="3" s="1"/>
  <c r="KL22" i="3"/>
  <c r="JW3" i="4" l="1"/>
  <c r="JW25" i="3"/>
  <c r="MR28" i="3"/>
  <c r="KE3" i="4"/>
  <c r="KE25" i="3"/>
  <c r="MU3" i="4"/>
  <c r="MU25" i="3"/>
  <c r="JY3" i="4"/>
  <c r="JY25" i="3"/>
  <c r="NG3" i="4"/>
  <c r="NG25" i="3"/>
  <c r="MY3" i="4"/>
  <c r="MY25" i="3"/>
  <c r="NA3" i="4"/>
  <c r="NA25" i="3"/>
  <c r="JX28" i="3"/>
  <c r="MN28" i="3"/>
  <c r="MU26" i="3"/>
  <c r="JW26" i="3"/>
  <c r="JY26" i="3"/>
  <c r="MZ28" i="3"/>
  <c r="KE26" i="3"/>
  <c r="JR28" i="3"/>
  <c r="NG26" i="3"/>
  <c r="JP28" i="3"/>
  <c r="MT28" i="3"/>
  <c r="MY26" i="3"/>
  <c r="NA26" i="3"/>
  <c r="NN23" i="3"/>
  <c r="NN27" i="3" s="1"/>
  <c r="NU22" i="3"/>
  <c r="NM22" i="3"/>
  <c r="NF23" i="3"/>
  <c r="NF27" i="3" s="1"/>
  <c r="KS22" i="3"/>
  <c r="KL23" i="3"/>
  <c r="KL27" i="3" s="1"/>
  <c r="NI22" i="3"/>
  <c r="NB23" i="3"/>
  <c r="NB27" i="3" s="1"/>
  <c r="NO22" i="3"/>
  <c r="NH23" i="3"/>
  <c r="NH27" i="3" s="1"/>
  <c r="KF23" i="3"/>
  <c r="KF27" i="3" s="1"/>
  <c r="KM22" i="3"/>
  <c r="KK22" i="3"/>
  <c r="KD23" i="3"/>
  <c r="KD27" i="3" s="1"/>
  <c r="NB3" i="4" l="1"/>
  <c r="NB25" i="3"/>
  <c r="NF3" i="4"/>
  <c r="NF25" i="3"/>
  <c r="NN3" i="4"/>
  <c r="NN25" i="3"/>
  <c r="KF3" i="4"/>
  <c r="KF25" i="3"/>
  <c r="NH3" i="4"/>
  <c r="NH25" i="3"/>
  <c r="KL3" i="4"/>
  <c r="KL25" i="3"/>
  <c r="KD3" i="4"/>
  <c r="KD25" i="3"/>
  <c r="NA28" i="3"/>
  <c r="MU28" i="3"/>
  <c r="JW28" i="3"/>
  <c r="JY28" i="3"/>
  <c r="NG28" i="3"/>
  <c r="KL26" i="3"/>
  <c r="NF26" i="3"/>
  <c r="NB26" i="3"/>
  <c r="KF26" i="3"/>
  <c r="NN26" i="3"/>
  <c r="KE28" i="3"/>
  <c r="KD26" i="3"/>
  <c r="NH26" i="3"/>
  <c r="MY28" i="3"/>
  <c r="NI23" i="3"/>
  <c r="NI27" i="3" s="1"/>
  <c r="NP22" i="3"/>
  <c r="NM23" i="3"/>
  <c r="NM27" i="3" s="1"/>
  <c r="NT22" i="3"/>
  <c r="NU23" i="3"/>
  <c r="NU27" i="3" s="1"/>
  <c r="OB22" i="3"/>
  <c r="KS23" i="3"/>
  <c r="KS27" i="3" s="1"/>
  <c r="KZ22" i="3"/>
  <c r="KT22" i="3"/>
  <c r="KM23" i="3"/>
  <c r="KM27" i="3" s="1"/>
  <c r="NO23" i="3"/>
  <c r="NO27" i="3" s="1"/>
  <c r="NV22" i="3"/>
  <c r="KR22" i="3"/>
  <c r="KK23" i="3"/>
  <c r="KK27" i="3" s="1"/>
  <c r="KK3" i="4" l="1"/>
  <c r="KK25" i="3"/>
  <c r="NU3" i="4"/>
  <c r="NU25" i="3"/>
  <c r="KS3" i="4"/>
  <c r="KS25" i="3"/>
  <c r="KM3" i="4"/>
  <c r="KM25" i="3"/>
  <c r="NI3" i="4"/>
  <c r="NI25" i="3"/>
  <c r="NO3" i="4"/>
  <c r="NO25" i="3"/>
  <c r="NM3" i="4"/>
  <c r="NM25" i="3"/>
  <c r="NN28" i="3"/>
  <c r="NI26" i="3"/>
  <c r="NM26" i="3"/>
  <c r="KK26" i="3"/>
  <c r="NF28" i="3"/>
  <c r="KM26" i="3"/>
  <c r="NB28" i="3"/>
  <c r="NH28" i="3"/>
  <c r="KL28" i="3"/>
  <c r="KS26" i="3"/>
  <c r="KF28" i="3"/>
  <c r="NU26" i="3"/>
  <c r="KD28" i="3"/>
  <c r="NO26" i="3"/>
  <c r="OA22" i="3"/>
  <c r="NT23" i="3"/>
  <c r="NT27" i="3" s="1"/>
  <c r="KR23" i="3"/>
  <c r="KR27" i="3" s="1"/>
  <c r="KY22" i="3"/>
  <c r="NW22" i="3"/>
  <c r="NP23" i="3"/>
  <c r="NP27" i="3" s="1"/>
  <c r="OI22" i="3"/>
  <c r="OB23" i="3"/>
  <c r="OB27" i="3" s="1"/>
  <c r="NV23" i="3"/>
  <c r="NV27" i="3" s="1"/>
  <c r="OC22" i="3"/>
  <c r="KT23" i="3"/>
  <c r="KT27" i="3" s="1"/>
  <c r="LA22" i="3"/>
  <c r="KZ23" i="3"/>
  <c r="KZ27" i="3" s="1"/>
  <c r="LG22" i="3"/>
  <c r="NM28" i="3" l="1"/>
  <c r="NT3" i="4"/>
  <c r="NT25" i="3"/>
  <c r="NV3" i="4"/>
  <c r="NV25" i="3"/>
  <c r="KT3" i="4"/>
  <c r="KT25" i="3"/>
  <c r="KZ3" i="4"/>
  <c r="KZ25" i="3"/>
  <c r="OB3" i="4"/>
  <c r="OB25" i="3"/>
  <c r="NP3" i="4"/>
  <c r="NP25" i="3"/>
  <c r="KR3" i="4"/>
  <c r="KR25" i="3"/>
  <c r="NO28" i="3"/>
  <c r="NI28" i="3"/>
  <c r="NV26" i="3"/>
  <c r="NU28" i="3"/>
  <c r="NP26" i="3"/>
  <c r="KZ26" i="3"/>
  <c r="OB26" i="3"/>
  <c r="KS28" i="3"/>
  <c r="KK28" i="3"/>
  <c r="KM28" i="3"/>
  <c r="NT26" i="3"/>
  <c r="KT26" i="3"/>
  <c r="L37" i="3"/>
  <c r="N9" i="2" s="1"/>
  <c r="KR26" i="3"/>
  <c r="OI23" i="3"/>
  <c r="OI27" i="3" s="1"/>
  <c r="OP22" i="3"/>
  <c r="NW23" i="3"/>
  <c r="NW27" i="3" s="1"/>
  <c r="OD22" i="3"/>
  <c r="LA23" i="3"/>
  <c r="LA27" i="3" s="1"/>
  <c r="LH22" i="3"/>
  <c r="KY23" i="3"/>
  <c r="KY27" i="3" s="1"/>
  <c r="LF22" i="3"/>
  <c r="LG23" i="3"/>
  <c r="LG27" i="3" s="1"/>
  <c r="LN22" i="3"/>
  <c r="OJ22" i="3"/>
  <c r="OC23" i="3"/>
  <c r="OC27" i="3" s="1"/>
  <c r="OA23" i="3"/>
  <c r="OA27" i="3" s="1"/>
  <c r="OH22" i="3"/>
  <c r="NW3" i="4" l="1"/>
  <c r="NW25" i="3"/>
  <c r="KY3" i="4"/>
  <c r="KY25" i="3"/>
  <c r="OA3" i="4"/>
  <c r="OA25" i="3"/>
  <c r="OC3" i="4"/>
  <c r="OC25" i="3"/>
  <c r="OI3" i="4"/>
  <c r="OI25" i="3"/>
  <c r="LG3" i="4"/>
  <c r="LG25" i="3"/>
  <c r="LA3" i="4"/>
  <c r="LA25" i="3"/>
  <c r="NT28" i="3"/>
  <c r="OA26" i="3"/>
  <c r="LA26" i="3"/>
  <c r="KY26" i="3"/>
  <c r="LG26" i="3"/>
  <c r="NW26" i="3"/>
  <c r="KR28" i="3"/>
  <c r="NP28" i="3"/>
  <c r="KT28" i="3"/>
  <c r="OB28" i="3"/>
  <c r="NV28" i="3"/>
  <c r="OC26" i="3"/>
  <c r="OI26" i="3"/>
  <c r="KZ28" i="3"/>
  <c r="LU22" i="3"/>
  <c r="LN23" i="3"/>
  <c r="LN27" i="3" s="1"/>
  <c r="OD23" i="3"/>
  <c r="OD27" i="3" s="1"/>
  <c r="OK22" i="3"/>
  <c r="LM22" i="3"/>
  <c r="LF23" i="3"/>
  <c r="LF27" i="3" s="1"/>
  <c r="OH23" i="3"/>
  <c r="OH27" i="3" s="1"/>
  <c r="OO22" i="3"/>
  <c r="OP23" i="3"/>
  <c r="OP27" i="3" s="1"/>
  <c r="OW22" i="3"/>
  <c r="OQ22" i="3"/>
  <c r="OJ23" i="3"/>
  <c r="OJ27" i="3" s="1"/>
  <c r="LH23" i="3"/>
  <c r="LH27" i="3" s="1"/>
  <c r="LO22" i="3"/>
  <c r="OH3" i="4" l="1"/>
  <c r="OH25" i="3"/>
  <c r="OP3" i="4"/>
  <c r="OP25" i="3"/>
  <c r="LN3" i="4"/>
  <c r="LN25" i="3"/>
  <c r="OJ3" i="4"/>
  <c r="OJ25" i="3"/>
  <c r="OD3" i="4"/>
  <c r="OD25" i="3"/>
  <c r="LF3" i="4"/>
  <c r="LF25" i="3"/>
  <c r="LH3" i="4"/>
  <c r="LH25" i="3"/>
  <c r="KY28" i="3"/>
  <c r="LA28" i="3"/>
  <c r="OI28" i="3"/>
  <c r="OA28" i="3"/>
  <c r="OH26" i="3"/>
  <c r="LG28" i="3"/>
  <c r="OC28" i="3"/>
  <c r="LF26" i="3"/>
  <c r="NW28" i="3"/>
  <c r="OD26" i="3"/>
  <c r="OJ26" i="3"/>
  <c r="OP26" i="3"/>
  <c r="LH26" i="3"/>
  <c r="LN26" i="3"/>
  <c r="OV22" i="3"/>
  <c r="OO23" i="3"/>
  <c r="OO27" i="3" s="1"/>
  <c r="PD22" i="3"/>
  <c r="OW23" i="3"/>
  <c r="OW27" i="3" s="1"/>
  <c r="MB22" i="3"/>
  <c r="LU23" i="3"/>
  <c r="LU27" i="3" s="1"/>
  <c r="OX22" i="3"/>
  <c r="OQ23" i="3"/>
  <c r="OQ27" i="3" s="1"/>
  <c r="LV22" i="3"/>
  <c r="LO23" i="3"/>
  <c r="LO27" i="3" s="1"/>
  <c r="LM23" i="3"/>
  <c r="LM27" i="3" s="1"/>
  <c r="LT22" i="3"/>
  <c r="OR22" i="3"/>
  <c r="OK23" i="3"/>
  <c r="OK27" i="3" s="1"/>
  <c r="OQ3" i="4" l="1"/>
  <c r="OQ25" i="3"/>
  <c r="LM3" i="4"/>
  <c r="LM25" i="3"/>
  <c r="LU3" i="4"/>
  <c r="LU25" i="3"/>
  <c r="OK3" i="4"/>
  <c r="OK25" i="3"/>
  <c r="LO3" i="4"/>
  <c r="LO25" i="3"/>
  <c r="OO3" i="4"/>
  <c r="OO25" i="3"/>
  <c r="OW3" i="4"/>
  <c r="OW25" i="3"/>
  <c r="LF28" i="3"/>
  <c r="OD28" i="3"/>
  <c r="OH28" i="3"/>
  <c r="OK26" i="3"/>
  <c r="LN28" i="3"/>
  <c r="OO26" i="3"/>
  <c r="OW26" i="3"/>
  <c r="OQ26" i="3"/>
  <c r="OP28" i="3"/>
  <c r="LU26" i="3"/>
  <c r="LH28" i="3"/>
  <c r="LM26" i="3"/>
  <c r="OJ28" i="3"/>
  <c r="LO26" i="3"/>
  <c r="PC22" i="3"/>
  <c r="OV23" i="3"/>
  <c r="OV27" i="3" s="1"/>
  <c r="PD23" i="3"/>
  <c r="PD27" i="3" s="1"/>
  <c r="PK22" i="3"/>
  <c r="MA22" i="3"/>
  <c r="LT23" i="3"/>
  <c r="LT27" i="3" s="1"/>
  <c r="OY22" i="3"/>
  <c r="OR23" i="3"/>
  <c r="OR27" i="3" s="1"/>
  <c r="PE22" i="3"/>
  <c r="OX23" i="3"/>
  <c r="OX27" i="3" s="1"/>
  <c r="LV23" i="3"/>
  <c r="LV27" i="3" s="1"/>
  <c r="MC22" i="3"/>
  <c r="MB23" i="3"/>
  <c r="MB27" i="3" s="1"/>
  <c r="MI22" i="3"/>
  <c r="MB3" i="4" l="1"/>
  <c r="MB25" i="3"/>
  <c r="OV3" i="4"/>
  <c r="OV25" i="3"/>
  <c r="LT3" i="4"/>
  <c r="LT25" i="3"/>
  <c r="OR3" i="4"/>
  <c r="OR25" i="3"/>
  <c r="LV3" i="4"/>
  <c r="LV25" i="3"/>
  <c r="OX3" i="4"/>
  <c r="OX25" i="3"/>
  <c r="PD3" i="4"/>
  <c r="PD25" i="3"/>
  <c r="M37" i="3"/>
  <c r="O9" i="2" s="1"/>
  <c r="OO28" i="3"/>
  <c r="LU28" i="3"/>
  <c r="OW28" i="3"/>
  <c r="LM28" i="3"/>
  <c r="OR26" i="3"/>
  <c r="OQ28" i="3"/>
  <c r="OK28" i="3"/>
  <c r="PD26" i="3"/>
  <c r="LV26" i="3"/>
  <c r="OV26" i="3"/>
  <c r="OX26" i="3"/>
  <c r="MB26" i="3"/>
  <c r="LT26" i="3"/>
  <c r="LO28" i="3"/>
  <c r="OY23" i="3"/>
  <c r="OY27" i="3" s="1"/>
  <c r="PF22" i="3"/>
  <c r="MC23" i="3"/>
  <c r="MC27" i="3" s="1"/>
  <c r="MJ22" i="3"/>
  <c r="PK23" i="3"/>
  <c r="PK27" i="3" s="1"/>
  <c r="PR22" i="3"/>
  <c r="PC23" i="3"/>
  <c r="PC27" i="3" s="1"/>
  <c r="PJ22" i="3"/>
  <c r="MP22" i="3"/>
  <c r="MI23" i="3"/>
  <c r="MI27" i="3" s="1"/>
  <c r="PL22" i="3"/>
  <c r="PE23" i="3"/>
  <c r="PE27" i="3" s="1"/>
  <c r="MA23" i="3"/>
  <c r="MA27" i="3" s="1"/>
  <c r="MH22" i="3"/>
  <c r="PE3" i="4" l="1"/>
  <c r="PE25" i="3"/>
  <c r="PC3" i="4"/>
  <c r="PC25" i="3"/>
  <c r="OY3" i="4"/>
  <c r="OY25" i="3"/>
  <c r="PK3" i="4"/>
  <c r="PK25" i="3"/>
  <c r="MA3" i="4"/>
  <c r="MA25" i="3"/>
  <c r="MI3" i="4"/>
  <c r="MI25" i="3"/>
  <c r="MC3" i="4"/>
  <c r="MC25" i="3"/>
  <c r="OV28" i="3"/>
  <c r="LT28" i="3"/>
  <c r="PD28" i="3"/>
  <c r="MB28" i="3"/>
  <c r="OR28" i="3"/>
  <c r="MI26" i="3"/>
  <c r="PC26" i="3"/>
  <c r="OX28" i="3"/>
  <c r="MC26" i="3"/>
  <c r="PE26" i="3"/>
  <c r="LV28" i="3"/>
  <c r="PK26" i="3"/>
  <c r="OY26" i="3"/>
  <c r="MA26" i="3"/>
  <c r="E22" i="2"/>
  <c r="PL23" i="3"/>
  <c r="PL27" i="3" s="1"/>
  <c r="PS22" i="3"/>
  <c r="MP23" i="3"/>
  <c r="MP27" i="3" s="1"/>
  <c r="MW22" i="3"/>
  <c r="PF23" i="3"/>
  <c r="PF27" i="3" s="1"/>
  <c r="PM22" i="3"/>
  <c r="PR23" i="3"/>
  <c r="PR27" i="3" s="1"/>
  <c r="PY22" i="3"/>
  <c r="PJ23" i="3"/>
  <c r="PJ27" i="3" s="1"/>
  <c r="PQ22" i="3"/>
  <c r="MQ22" i="3"/>
  <c r="MJ23" i="3"/>
  <c r="MJ27" i="3" s="1"/>
  <c r="MO22" i="3"/>
  <c r="MH23" i="3"/>
  <c r="MH27" i="3" s="1"/>
  <c r="PR3" i="4" l="1"/>
  <c r="PR25" i="3"/>
  <c r="MH3" i="4"/>
  <c r="MH25" i="3"/>
  <c r="MJ3" i="4"/>
  <c r="MJ25" i="3"/>
  <c r="PL3" i="4"/>
  <c r="PL25" i="3"/>
  <c r="PF3" i="4"/>
  <c r="PF25" i="3"/>
  <c r="PJ3" i="4"/>
  <c r="PJ25" i="3"/>
  <c r="MP3" i="4"/>
  <c r="MP25" i="3"/>
  <c r="E23" i="2"/>
  <c r="PE28" i="3"/>
  <c r="PC28" i="3"/>
  <c r="MI28" i="3"/>
  <c r="PK28" i="3"/>
  <c r="OY28" i="3"/>
  <c r="PJ26" i="3"/>
  <c r="MA28" i="3"/>
  <c r="PL26" i="3"/>
  <c r="MP26" i="3"/>
  <c r="MH26" i="3"/>
  <c r="MJ26" i="3"/>
  <c r="PF26" i="3"/>
  <c r="MC28" i="3"/>
  <c r="PR26" i="3"/>
  <c r="PR28" i="3" s="1"/>
  <c r="PY23" i="3"/>
  <c r="PY27" i="3" s="1"/>
  <c r="QF22" i="3"/>
  <c r="MW23" i="3"/>
  <c r="MW27" i="3" s="1"/>
  <c r="ND22" i="3"/>
  <c r="PS23" i="3"/>
  <c r="PS27" i="3" s="1"/>
  <c r="PZ22" i="3"/>
  <c r="PX22" i="3"/>
  <c r="PQ23" i="3"/>
  <c r="PQ27" i="3" s="1"/>
  <c r="MV22" i="3"/>
  <c r="MO23" i="3"/>
  <c r="MO27" i="3" s="1"/>
  <c r="MQ23" i="3"/>
  <c r="MQ27" i="3" s="1"/>
  <c r="MX22" i="3"/>
  <c r="PT22" i="3"/>
  <c r="PM23" i="3"/>
  <c r="PM27" i="3" s="1"/>
  <c r="PY3" i="4" l="1"/>
  <c r="PY25" i="3"/>
  <c r="MO3" i="4"/>
  <c r="MO25" i="3"/>
  <c r="MQ3" i="4"/>
  <c r="MQ25" i="3"/>
  <c r="PS3" i="4"/>
  <c r="PS25" i="3"/>
  <c r="PM3" i="4"/>
  <c r="PM25" i="3"/>
  <c r="PQ3" i="4"/>
  <c r="PQ25" i="3"/>
  <c r="MW3" i="4"/>
  <c r="MW25" i="3"/>
  <c r="PJ28" i="3"/>
  <c r="MJ28" i="3"/>
  <c r="PF28" i="3"/>
  <c r="PL28" i="3"/>
  <c r="MP28" i="3"/>
  <c r="PY26" i="3"/>
  <c r="MO26" i="3"/>
  <c r="PS26" i="3"/>
  <c r="MQ26" i="3"/>
  <c r="PM26" i="3"/>
  <c r="PQ26" i="3"/>
  <c r="MW26" i="3"/>
  <c r="MH28" i="3"/>
  <c r="PZ23" i="3"/>
  <c r="PZ27" i="3" s="1"/>
  <c r="QG22" i="3"/>
  <c r="QE22" i="3"/>
  <c r="PX23" i="3"/>
  <c r="PX27" i="3" s="1"/>
  <c r="QA22" i="3"/>
  <c r="PT23" i="3"/>
  <c r="PT27" i="3" s="1"/>
  <c r="NC22" i="3"/>
  <c r="MV23" i="3"/>
  <c r="MV27" i="3" s="1"/>
  <c r="MX23" i="3"/>
  <c r="MX27" i="3" s="1"/>
  <c r="NE22" i="3"/>
  <c r="QM22" i="3"/>
  <c r="QF23" i="3"/>
  <c r="QF27" i="3" s="1"/>
  <c r="NK22" i="3"/>
  <c r="ND23" i="3"/>
  <c r="ND27" i="3" s="1"/>
  <c r="ND3" i="4" l="1"/>
  <c r="ND25" i="3"/>
  <c r="MV3" i="4"/>
  <c r="MV25" i="3"/>
  <c r="QF3" i="4"/>
  <c r="QF25" i="3"/>
  <c r="PZ3" i="4"/>
  <c r="PZ25" i="3"/>
  <c r="MX3" i="4"/>
  <c r="MX25" i="3"/>
  <c r="PT3" i="4"/>
  <c r="PT25" i="3"/>
  <c r="PX3" i="4"/>
  <c r="PX25" i="3"/>
  <c r="MQ28" i="3"/>
  <c r="MO28" i="3"/>
  <c r="PQ28" i="3"/>
  <c r="PT26" i="3"/>
  <c r="PZ26" i="3"/>
  <c r="ND26" i="3"/>
  <c r="PM28" i="3"/>
  <c r="PY28" i="3"/>
  <c r="PX26" i="3"/>
  <c r="QF26" i="3"/>
  <c r="MX26" i="3"/>
  <c r="PS28" i="3"/>
  <c r="MV26" i="3"/>
  <c r="MW28" i="3"/>
  <c r="NR22" i="3"/>
  <c r="NK23" i="3"/>
  <c r="NK27" i="3" s="1"/>
  <c r="QT22" i="3"/>
  <c r="QM23" i="3"/>
  <c r="QM27" i="3" s="1"/>
  <c r="NJ22" i="3"/>
  <c r="NC23" i="3"/>
  <c r="NC27" i="3" s="1"/>
  <c r="NL22" i="3"/>
  <c r="NE23" i="3"/>
  <c r="NE27" i="3" s="1"/>
  <c r="QG23" i="3"/>
  <c r="QG27" i="3" s="1"/>
  <c r="QN22" i="3"/>
  <c r="QH22" i="3"/>
  <c r="QA23" i="3"/>
  <c r="QA27" i="3" s="1"/>
  <c r="QL22" i="3"/>
  <c r="QE23" i="3"/>
  <c r="QE27" i="3" s="1"/>
  <c r="NK3" i="4" l="1"/>
  <c r="NK25" i="3"/>
  <c r="NE3" i="4"/>
  <c r="NE25" i="3"/>
  <c r="QE3" i="4"/>
  <c r="QE25" i="3"/>
  <c r="QA3" i="4"/>
  <c r="QA25" i="3"/>
  <c r="NC3" i="4"/>
  <c r="NC25" i="3"/>
  <c r="QG3" i="4"/>
  <c r="QG25" i="3"/>
  <c r="QM3" i="4"/>
  <c r="QM25" i="3"/>
  <c r="MV28" i="3"/>
  <c r="MX28" i="3"/>
  <c r="PT28" i="3"/>
  <c r="PZ28" i="3"/>
  <c r="NC26" i="3"/>
  <c r="QG26" i="3"/>
  <c r="QM26" i="3"/>
  <c r="NE26" i="3"/>
  <c r="ND28" i="3"/>
  <c r="QA26" i="3"/>
  <c r="PX28" i="3"/>
  <c r="NK26" i="3"/>
  <c r="QE26" i="3"/>
  <c r="QF28" i="3"/>
  <c r="RA22" i="3"/>
  <c r="QT23" i="3"/>
  <c r="QT27" i="3" s="1"/>
  <c r="NL23" i="3"/>
  <c r="NL27" i="3" s="1"/>
  <c r="NS22" i="3"/>
  <c r="NJ23" i="3"/>
  <c r="NJ27" i="3" s="1"/>
  <c r="NQ22" i="3"/>
  <c r="QN23" i="3"/>
  <c r="QN27" i="3" s="1"/>
  <c r="QU22" i="3"/>
  <c r="QH23" i="3"/>
  <c r="QH27" i="3" s="1"/>
  <c r="QO22" i="3"/>
  <c r="QS22" i="3"/>
  <c r="QL23" i="3"/>
  <c r="QL27" i="3" s="1"/>
  <c r="NY22" i="3"/>
  <c r="NR23" i="3"/>
  <c r="NR27" i="3" s="1"/>
  <c r="QN3" i="4" l="1"/>
  <c r="QN25" i="3"/>
  <c r="QT3" i="4"/>
  <c r="QT25" i="3"/>
  <c r="QL3" i="4"/>
  <c r="QL25" i="3"/>
  <c r="NJ3" i="4"/>
  <c r="NJ25" i="3"/>
  <c r="NR3" i="4"/>
  <c r="NR25" i="3"/>
  <c r="QH3" i="4"/>
  <c r="QH25" i="3"/>
  <c r="NL3" i="4"/>
  <c r="NL25" i="3"/>
  <c r="NE28" i="3"/>
  <c r="QG28" i="3"/>
  <c r="QL26" i="3"/>
  <c r="NJ26" i="3"/>
  <c r="NR26" i="3"/>
  <c r="NL26" i="3"/>
  <c r="QM28" i="3"/>
  <c r="QH26" i="3"/>
  <c r="NC28" i="3"/>
  <c r="QN26" i="3"/>
  <c r="QA28" i="3"/>
  <c r="NK28" i="3"/>
  <c r="QE28" i="3"/>
  <c r="QT26" i="3"/>
  <c r="QO23" i="3"/>
  <c r="QO27" i="3" s="1"/>
  <c r="QV22" i="3"/>
  <c r="NZ22" i="3"/>
  <c r="NS23" i="3"/>
  <c r="NS27" i="3" s="1"/>
  <c r="QU23" i="3"/>
  <c r="QU27" i="3" s="1"/>
  <c r="RB22" i="3"/>
  <c r="NX22" i="3"/>
  <c r="NQ23" i="3"/>
  <c r="NQ27" i="3" s="1"/>
  <c r="QZ22" i="3"/>
  <c r="QS23" i="3"/>
  <c r="QS27" i="3" s="1"/>
  <c r="OF22" i="3"/>
  <c r="NY23" i="3"/>
  <c r="NY27" i="3" s="1"/>
  <c r="RH22" i="3"/>
  <c r="RA23" i="3"/>
  <c r="RA27" i="3" s="1"/>
  <c r="NQ3" i="4" l="1"/>
  <c r="NQ25" i="3"/>
  <c r="QO3" i="4"/>
  <c r="QO25" i="3"/>
  <c r="QS3" i="4"/>
  <c r="QS25" i="3"/>
  <c r="NY3" i="4"/>
  <c r="NY25" i="3"/>
  <c r="QU3" i="4"/>
  <c r="QU25" i="3"/>
  <c r="NS3" i="4"/>
  <c r="NS25" i="3"/>
  <c r="RA3" i="4"/>
  <c r="RA25" i="3"/>
  <c r="NL28" i="3"/>
  <c r="QN28" i="3"/>
  <c r="QL28" i="3"/>
  <c r="NQ26" i="3"/>
  <c r="RA26" i="3"/>
  <c r="QH28" i="3"/>
  <c r="NS26" i="3"/>
  <c r="NR28" i="3"/>
  <c r="NJ28" i="3"/>
  <c r="NY26" i="3"/>
  <c r="QU26" i="3"/>
  <c r="QO26" i="3"/>
  <c r="QS26" i="3"/>
  <c r="QT28" i="3"/>
  <c r="OF23" i="3"/>
  <c r="OF27" i="3" s="1"/>
  <c r="OM22" i="3"/>
  <c r="NX23" i="3"/>
  <c r="NX27" i="3" s="1"/>
  <c r="OE22" i="3"/>
  <c r="RO22" i="3"/>
  <c r="RH23" i="3"/>
  <c r="RH27" i="3" s="1"/>
  <c r="NZ23" i="3"/>
  <c r="NZ27" i="3" s="1"/>
  <c r="OG22" i="3"/>
  <c r="RI22" i="3"/>
  <c r="RB23" i="3"/>
  <c r="RB27" i="3" s="1"/>
  <c r="RC22" i="3"/>
  <c r="QV23" i="3"/>
  <c r="QV27" i="3" s="1"/>
  <c r="QZ23" i="3"/>
  <c r="QZ27" i="3" s="1"/>
  <c r="RG22" i="3"/>
  <c r="NZ3" i="4" l="1"/>
  <c r="NZ25" i="3"/>
  <c r="OF3" i="4"/>
  <c r="OF25" i="3"/>
  <c r="QZ3" i="4"/>
  <c r="QZ25" i="3"/>
  <c r="QV3" i="4"/>
  <c r="QV25" i="3"/>
  <c r="RH3" i="4"/>
  <c r="RH25" i="3"/>
  <c r="RB3" i="4"/>
  <c r="RB25" i="3"/>
  <c r="NX3" i="4"/>
  <c r="NX25" i="3"/>
  <c r="NY28" i="3"/>
  <c r="QU28" i="3"/>
  <c r="NQ28" i="3"/>
  <c r="QO28" i="3"/>
  <c r="RB26" i="3"/>
  <c r="NX26" i="3"/>
  <c r="NS28" i="3"/>
  <c r="NZ26" i="3"/>
  <c r="QZ26" i="3"/>
  <c r="RA28" i="3"/>
  <c r="OF26" i="3"/>
  <c r="RH26" i="3"/>
  <c r="QS28" i="3"/>
  <c r="QV26" i="3"/>
  <c r="RG23" i="3"/>
  <c r="RG27" i="3" s="1"/>
  <c r="RN22" i="3"/>
  <c r="OM23" i="3"/>
  <c r="OM27" i="3" s="1"/>
  <c r="OT22" i="3"/>
  <c r="RJ22" i="3"/>
  <c r="RC23" i="3"/>
  <c r="RC27" i="3" s="1"/>
  <c r="RV22" i="3"/>
  <c r="RO23" i="3"/>
  <c r="RO27" i="3" s="1"/>
  <c r="RP22" i="3"/>
  <c r="RI23" i="3"/>
  <c r="RI27" i="3" s="1"/>
  <c r="OE23" i="3"/>
  <c r="OE27" i="3" s="1"/>
  <c r="OL22" i="3"/>
  <c r="ON22" i="3"/>
  <c r="OG23" i="3"/>
  <c r="OG27" i="3" s="1"/>
  <c r="RC3" i="4" l="1"/>
  <c r="RC25" i="3"/>
  <c r="OE3" i="4"/>
  <c r="OE25" i="3"/>
  <c r="OG3" i="4"/>
  <c r="OG25" i="3"/>
  <c r="RG3" i="4"/>
  <c r="RG25" i="3"/>
  <c r="RI3" i="4"/>
  <c r="RI25" i="3"/>
  <c r="RO3" i="4"/>
  <c r="RO25" i="3"/>
  <c r="OM3" i="4"/>
  <c r="OM25" i="3"/>
  <c r="NX28" i="3"/>
  <c r="RB28" i="3"/>
  <c r="RH28" i="3"/>
  <c r="OM26" i="3"/>
  <c r="RG26" i="3"/>
  <c r="QZ28" i="3"/>
  <c r="RO26" i="3"/>
  <c r="OG26" i="3"/>
  <c r="RC26" i="3"/>
  <c r="NZ28" i="3"/>
  <c r="O37" i="3"/>
  <c r="Q9" i="2" s="1"/>
  <c r="OE26" i="3"/>
  <c r="QV28" i="3"/>
  <c r="RI26" i="3"/>
  <c r="OF28" i="3"/>
  <c r="RP23" i="3"/>
  <c r="RP27" i="3" s="1"/>
  <c r="RW22" i="3"/>
  <c r="RJ23" i="3"/>
  <c r="RJ27" i="3" s="1"/>
  <c r="RQ22" i="3"/>
  <c r="ON23" i="3"/>
  <c r="ON27" i="3" s="1"/>
  <c r="OU22" i="3"/>
  <c r="OL23" i="3"/>
  <c r="OL27" i="3" s="1"/>
  <c r="OS22" i="3"/>
  <c r="RV23" i="3"/>
  <c r="RV27" i="3" s="1"/>
  <c r="SC22" i="3"/>
  <c r="PA22" i="3"/>
  <c r="OT23" i="3"/>
  <c r="OT27" i="3" s="1"/>
  <c r="RN23" i="3"/>
  <c r="RN27" i="3" s="1"/>
  <c r="RU22" i="3"/>
  <c r="RP3" i="4" l="1"/>
  <c r="RP25" i="3"/>
  <c r="RN3" i="4"/>
  <c r="RN25" i="3"/>
  <c r="ON3" i="4"/>
  <c r="ON25" i="3"/>
  <c r="RJ3" i="4"/>
  <c r="RJ25" i="3"/>
  <c r="OL3" i="4"/>
  <c r="OL25" i="3"/>
  <c r="OT3" i="4"/>
  <c r="OT25" i="3"/>
  <c r="RV3" i="4"/>
  <c r="RV25" i="3"/>
  <c r="RG28" i="3"/>
  <c r="RJ26" i="3"/>
  <c r="RN26" i="3"/>
  <c r="RV26" i="3"/>
  <c r="RI28" i="3"/>
  <c r="OL26" i="3"/>
  <c r="OE28" i="3"/>
  <c r="RP26" i="3"/>
  <c r="OM28" i="3"/>
  <c r="ON26" i="3"/>
  <c r="RC28" i="3"/>
  <c r="OT26" i="3"/>
  <c r="OG28" i="3"/>
  <c r="RO28" i="3"/>
  <c r="SJ22" i="3"/>
  <c r="SC23" i="3"/>
  <c r="SC27" i="3" s="1"/>
  <c r="RW23" i="3"/>
  <c r="RW27" i="3" s="1"/>
  <c r="SD22" i="3"/>
  <c r="PB22" i="3"/>
  <c r="OU23" i="3"/>
  <c r="OU27" i="3" s="1"/>
  <c r="PA23" i="3"/>
  <c r="PA27" i="3" s="1"/>
  <c r="PH22" i="3"/>
  <c r="RU23" i="3"/>
  <c r="RU27" i="3" s="1"/>
  <c r="SB22" i="3"/>
  <c r="OZ22" i="3"/>
  <c r="OS23" i="3"/>
  <c r="OS27" i="3" s="1"/>
  <c r="RQ23" i="3"/>
  <c r="RQ27" i="3" s="1"/>
  <c r="RX22" i="3"/>
  <c r="PA3" i="4" l="1"/>
  <c r="PA25" i="3"/>
  <c r="OU3" i="4"/>
  <c r="OU25" i="3"/>
  <c r="RQ3" i="4"/>
  <c r="RQ25" i="3"/>
  <c r="SC3" i="4"/>
  <c r="SC25" i="3"/>
  <c r="OS3" i="4"/>
  <c r="OS25" i="3"/>
  <c r="RU3" i="4"/>
  <c r="RU25" i="3"/>
  <c r="RW3" i="4"/>
  <c r="RW25" i="3"/>
  <c r="RV28" i="3"/>
  <c r="OL28" i="3"/>
  <c r="RP28" i="3"/>
  <c r="RN28" i="3"/>
  <c r="ON28" i="3"/>
  <c r="OS26" i="3"/>
  <c r="OU26" i="3"/>
  <c r="RJ28" i="3"/>
  <c r="OT28" i="3"/>
  <c r="RU26" i="3"/>
  <c r="RW26" i="3"/>
  <c r="RQ26" i="3"/>
  <c r="PA26" i="3"/>
  <c r="SC26" i="3"/>
  <c r="SD23" i="3"/>
  <c r="SD27" i="3" s="1"/>
  <c r="SK22" i="3"/>
  <c r="PB23" i="3"/>
  <c r="PB27" i="3" s="1"/>
  <c r="PI22" i="3"/>
  <c r="PO22" i="3"/>
  <c r="PH23" i="3"/>
  <c r="PH27" i="3" s="1"/>
  <c r="SI22" i="3"/>
  <c r="SB23" i="3"/>
  <c r="SB27" i="3" s="1"/>
  <c r="SJ23" i="3"/>
  <c r="SJ27" i="3" s="1"/>
  <c r="SQ22" i="3"/>
  <c r="RX23" i="3"/>
  <c r="RX27" i="3" s="1"/>
  <c r="SE22" i="3"/>
  <c r="PG22" i="3"/>
  <c r="OZ23" i="3"/>
  <c r="OZ27" i="3" s="1"/>
  <c r="RX3" i="4" l="1"/>
  <c r="RX25" i="3"/>
  <c r="SD3" i="4"/>
  <c r="SD25" i="3"/>
  <c r="SB3" i="4"/>
  <c r="SB25" i="3"/>
  <c r="PH3" i="4"/>
  <c r="PH25" i="3"/>
  <c r="SJ3" i="4"/>
  <c r="SJ25" i="3"/>
  <c r="OZ3" i="4"/>
  <c r="OZ25" i="3"/>
  <c r="PB3" i="4"/>
  <c r="PB25" i="3"/>
  <c r="OS28" i="3"/>
  <c r="RQ28" i="3"/>
  <c r="RW28" i="3"/>
  <c r="PH26" i="3"/>
  <c r="SJ26" i="3"/>
  <c r="RU28" i="3"/>
  <c r="SB26" i="3"/>
  <c r="OZ26" i="3"/>
  <c r="PB26" i="3"/>
  <c r="SD26" i="3"/>
  <c r="SC28" i="3"/>
  <c r="RX26" i="3"/>
  <c r="PA28" i="3"/>
  <c r="OU28" i="3"/>
  <c r="SP22" i="3"/>
  <c r="SI23" i="3"/>
  <c r="SI27" i="3" s="1"/>
  <c r="PP22" i="3"/>
  <c r="PI23" i="3"/>
  <c r="PI27" i="3" s="1"/>
  <c r="PV22" i="3"/>
  <c r="PO23" i="3"/>
  <c r="PO27" i="3" s="1"/>
  <c r="SE23" i="3"/>
  <c r="SE27" i="3" s="1"/>
  <c r="SL22" i="3"/>
  <c r="SQ23" i="3"/>
  <c r="SQ27" i="3" s="1"/>
  <c r="SX22" i="3"/>
  <c r="PN22" i="3"/>
  <c r="PG23" i="3"/>
  <c r="PG27" i="3" s="1"/>
  <c r="SR22" i="3"/>
  <c r="SK23" i="3"/>
  <c r="SK27" i="3" s="1"/>
  <c r="SI3" i="4" l="1"/>
  <c r="SI25" i="3"/>
  <c r="SE3" i="4"/>
  <c r="SE25" i="3"/>
  <c r="PG3" i="4"/>
  <c r="PG25" i="3"/>
  <c r="PI3" i="4"/>
  <c r="PI25" i="3"/>
  <c r="SQ3" i="4"/>
  <c r="SQ25" i="3"/>
  <c r="PO3" i="4"/>
  <c r="PO25" i="3"/>
  <c r="SK3" i="4"/>
  <c r="SK25" i="3"/>
  <c r="SJ28" i="3"/>
  <c r="SD28" i="3"/>
  <c r="PB28" i="3"/>
  <c r="SB28" i="3"/>
  <c r="PH28" i="3"/>
  <c r="SK26" i="3"/>
  <c r="OZ28" i="3"/>
  <c r="P37" i="3"/>
  <c r="R9" i="2" s="1"/>
  <c r="PG26" i="3"/>
  <c r="PO26" i="3"/>
  <c r="SI26" i="3"/>
  <c r="SQ26" i="3"/>
  <c r="RX28" i="3"/>
  <c r="SE26" i="3"/>
  <c r="PI26" i="3"/>
  <c r="PW22" i="3"/>
  <c r="PP23" i="3"/>
  <c r="PP27" i="3" s="1"/>
  <c r="P39" i="3"/>
  <c r="R10" i="2" s="1"/>
  <c r="PU22" i="3"/>
  <c r="PN23" i="3"/>
  <c r="PN27" i="3" s="1"/>
  <c r="SL23" i="3"/>
  <c r="SL27" i="3" s="1"/>
  <c r="SS22" i="3"/>
  <c r="SY22" i="3"/>
  <c r="SR23" i="3"/>
  <c r="SR27" i="3" s="1"/>
  <c r="SX23" i="3"/>
  <c r="SX27" i="3" s="1"/>
  <c r="TE22" i="3"/>
  <c r="PV23" i="3"/>
  <c r="PV27" i="3" s="1"/>
  <c r="QC22" i="3"/>
  <c r="SP23" i="3"/>
  <c r="SP27" i="3" s="1"/>
  <c r="SW22" i="3"/>
  <c r="PP3" i="4" l="1"/>
  <c r="PP25" i="3"/>
  <c r="PN3" i="4"/>
  <c r="PN25" i="3"/>
  <c r="PV3" i="4"/>
  <c r="PV25" i="3"/>
  <c r="SX3" i="4"/>
  <c r="SX25" i="3"/>
  <c r="SR3" i="4"/>
  <c r="SR25" i="3"/>
  <c r="SL3" i="4"/>
  <c r="SL25" i="3"/>
  <c r="SP3" i="4"/>
  <c r="SP25" i="3"/>
  <c r="SI28" i="3"/>
  <c r="SQ28" i="3"/>
  <c r="SK28" i="3"/>
  <c r="PI28" i="3"/>
  <c r="PV26" i="3"/>
  <c r="SR26" i="3"/>
  <c r="SP26" i="3"/>
  <c r="PO28" i="3"/>
  <c r="PG28" i="3"/>
  <c r="SL26" i="3"/>
  <c r="PP26" i="3"/>
  <c r="SX26" i="3"/>
  <c r="PN26" i="3"/>
  <c r="SE28" i="3"/>
  <c r="SW23" i="3"/>
  <c r="SW27" i="3" s="1"/>
  <c r="TD22" i="3"/>
  <c r="TL22" i="3"/>
  <c r="TE23" i="3"/>
  <c r="TE27" i="3" s="1"/>
  <c r="PU23" i="3"/>
  <c r="PU27" i="3" s="1"/>
  <c r="QB22" i="3"/>
  <c r="QJ22" i="3"/>
  <c r="QC23" i="3"/>
  <c r="QC27" i="3" s="1"/>
  <c r="TF22" i="3"/>
  <c r="SY23" i="3"/>
  <c r="SY27" i="3" s="1"/>
  <c r="SZ22" i="3"/>
  <c r="SS23" i="3"/>
  <c r="SS27" i="3" s="1"/>
  <c r="PW23" i="3"/>
  <c r="PW27" i="3" s="1"/>
  <c r="QD22" i="3"/>
  <c r="PW3" i="4" l="1"/>
  <c r="PW25" i="3"/>
  <c r="SS3" i="4"/>
  <c r="SS25" i="3"/>
  <c r="PU3" i="4"/>
  <c r="PU25" i="3"/>
  <c r="TE3" i="4"/>
  <c r="TE25" i="3"/>
  <c r="SW3" i="4"/>
  <c r="SW25" i="3"/>
  <c r="SY3" i="4"/>
  <c r="SY25" i="3"/>
  <c r="QC3" i="4"/>
  <c r="QC25" i="3"/>
  <c r="PP28" i="3"/>
  <c r="SX28" i="3"/>
  <c r="PV28" i="3"/>
  <c r="SP28" i="3"/>
  <c r="SL28" i="3"/>
  <c r="QC26" i="3"/>
  <c r="PW26" i="3"/>
  <c r="TE26" i="3"/>
  <c r="SS26" i="3"/>
  <c r="SY26" i="3"/>
  <c r="PN28" i="3"/>
  <c r="PU26" i="3"/>
  <c r="SR28" i="3"/>
  <c r="SW26" i="3"/>
  <c r="TL23" i="3"/>
  <c r="TL27" i="3" s="1"/>
  <c r="TS22" i="3"/>
  <c r="QI22" i="3"/>
  <c r="QB23" i="3"/>
  <c r="QB27" i="3" s="1"/>
  <c r="TK22" i="3"/>
  <c r="TD23" i="3"/>
  <c r="TD27" i="3" s="1"/>
  <c r="QD23" i="3"/>
  <c r="QD27" i="3" s="1"/>
  <c r="QK22" i="3"/>
  <c r="TF23" i="3"/>
  <c r="TF27" i="3" s="1"/>
  <c r="TM22" i="3"/>
  <c r="QQ22" i="3"/>
  <c r="QJ23" i="3"/>
  <c r="QJ27" i="3" s="1"/>
  <c r="TG22" i="3"/>
  <c r="SZ23" i="3"/>
  <c r="SZ27" i="3" s="1"/>
  <c r="TF3" i="4" l="1"/>
  <c r="TF25" i="3"/>
  <c r="QD3" i="4"/>
  <c r="QD25" i="3"/>
  <c r="TD3" i="4"/>
  <c r="TD25" i="3"/>
  <c r="SZ3" i="4"/>
  <c r="SZ25" i="3"/>
  <c r="TL3" i="4"/>
  <c r="TL25" i="3"/>
  <c r="QJ3" i="4"/>
  <c r="QJ25" i="3"/>
  <c r="QB3" i="4"/>
  <c r="QB25" i="3"/>
  <c r="PU28" i="3"/>
  <c r="QJ26" i="3"/>
  <c r="QC28" i="3"/>
  <c r="SY28" i="3"/>
  <c r="QB26" i="3"/>
  <c r="TF26" i="3"/>
  <c r="TL26" i="3"/>
  <c r="SZ26" i="3"/>
  <c r="TE28" i="3"/>
  <c r="QD26" i="3"/>
  <c r="SS28" i="3"/>
  <c r="SW28" i="3"/>
  <c r="TD26" i="3"/>
  <c r="PW28" i="3"/>
  <c r="TS23" i="3"/>
  <c r="TS27" i="3" s="1"/>
  <c r="TZ22" i="3"/>
  <c r="QX22" i="3"/>
  <c r="QQ23" i="3"/>
  <c r="QQ27" i="3" s="1"/>
  <c r="QP22" i="3"/>
  <c r="QI23" i="3"/>
  <c r="QI27" i="3" s="1"/>
  <c r="TR22" i="3"/>
  <c r="TK23" i="3"/>
  <c r="TK27" i="3" s="1"/>
  <c r="TT22" i="3"/>
  <c r="TM23" i="3"/>
  <c r="TM27" i="3" s="1"/>
  <c r="TN22" i="3"/>
  <c r="TG23" i="3"/>
  <c r="TG27" i="3" s="1"/>
  <c r="QR22" i="3"/>
  <c r="QK23" i="3"/>
  <c r="QK27" i="3" s="1"/>
  <c r="TK3" i="4" l="1"/>
  <c r="TK25" i="3"/>
  <c r="TS3" i="4"/>
  <c r="TS25" i="3"/>
  <c r="TG3" i="4"/>
  <c r="TG25" i="3"/>
  <c r="TG28" i="3" s="1"/>
  <c r="QI3" i="4"/>
  <c r="QI25" i="3"/>
  <c r="TM3" i="4"/>
  <c r="TM25" i="3"/>
  <c r="QK3" i="4"/>
  <c r="QK25" i="3"/>
  <c r="QQ3" i="4"/>
  <c r="QQ25" i="3"/>
  <c r="QQ28" i="3" s="1"/>
  <c r="Q37" i="3"/>
  <c r="S9" i="2" s="1"/>
  <c r="TF28" i="3"/>
  <c r="SZ28" i="3"/>
  <c r="QD28" i="3"/>
  <c r="TG26" i="3"/>
  <c r="TM26" i="3"/>
  <c r="TK26" i="3"/>
  <c r="TL28" i="3"/>
  <c r="QJ28" i="3"/>
  <c r="QI26" i="3"/>
  <c r="QK26" i="3"/>
  <c r="TS26" i="3"/>
  <c r="TD28" i="3"/>
  <c r="QB28" i="3"/>
  <c r="QQ26" i="3"/>
  <c r="QY22" i="3"/>
  <c r="QR23" i="3"/>
  <c r="QR27" i="3" s="1"/>
  <c r="TT23" i="3"/>
  <c r="TT27" i="3" s="1"/>
  <c r="UA22" i="3"/>
  <c r="RE22" i="3"/>
  <c r="QX23" i="3"/>
  <c r="QX27" i="3" s="1"/>
  <c r="TU22" i="3"/>
  <c r="TN23" i="3"/>
  <c r="TN27" i="3" s="1"/>
  <c r="QW22" i="3"/>
  <c r="QP23" i="3"/>
  <c r="QP27" i="3" s="1"/>
  <c r="TY22" i="3"/>
  <c r="TR23" i="3"/>
  <c r="TR27" i="3" s="1"/>
  <c r="TZ23" i="3"/>
  <c r="TZ27" i="3" s="1"/>
  <c r="UG22" i="3"/>
  <c r="QR3" i="4" l="1"/>
  <c r="QR25" i="3"/>
  <c r="TR3" i="4"/>
  <c r="TR25" i="3"/>
  <c r="TZ3" i="4"/>
  <c r="TZ25" i="3"/>
  <c r="QP3" i="4"/>
  <c r="QP25" i="3"/>
  <c r="QX3" i="4"/>
  <c r="QX25" i="3"/>
  <c r="TN3" i="4"/>
  <c r="TN25" i="3"/>
  <c r="TT3" i="4"/>
  <c r="TT25" i="3"/>
  <c r="QK28" i="3"/>
  <c r="QI28" i="3"/>
  <c r="TN26" i="3"/>
  <c r="TR26" i="3"/>
  <c r="TK28" i="3"/>
  <c r="TZ26" i="3"/>
  <c r="TT26" i="3"/>
  <c r="QR26" i="3"/>
  <c r="TS28" i="3"/>
  <c r="QX26" i="3"/>
  <c r="TM28" i="3"/>
  <c r="QP26" i="3"/>
  <c r="UB22" i="3"/>
  <c r="TU23" i="3"/>
  <c r="TU27" i="3" s="1"/>
  <c r="RL22" i="3"/>
  <c r="RE23" i="3"/>
  <c r="RE27" i="3" s="1"/>
  <c r="TY23" i="3"/>
  <c r="TY27" i="3" s="1"/>
  <c r="UF22" i="3"/>
  <c r="UA23" i="3"/>
  <c r="UA27" i="3" s="1"/>
  <c r="UH22" i="3"/>
  <c r="RF22" i="3"/>
  <c r="QY23" i="3"/>
  <c r="QY27" i="3" s="1"/>
  <c r="UG23" i="3"/>
  <c r="UG27" i="3" s="1"/>
  <c r="UN22" i="3"/>
  <c r="QW23" i="3"/>
  <c r="QW27" i="3" s="1"/>
  <c r="RD22" i="3"/>
  <c r="TR28" i="3" l="1"/>
  <c r="QY3" i="4"/>
  <c r="QY25" i="3"/>
  <c r="RE3" i="4"/>
  <c r="RE25" i="3"/>
  <c r="QW3" i="4"/>
  <c r="QW25" i="3"/>
  <c r="TY3" i="4"/>
  <c r="TY25" i="3"/>
  <c r="TU3" i="4"/>
  <c r="TU25" i="3"/>
  <c r="UA3" i="4"/>
  <c r="UA25" i="3"/>
  <c r="UG3" i="4"/>
  <c r="UG25" i="3"/>
  <c r="QY26" i="3"/>
  <c r="TY26" i="3"/>
  <c r="RE26" i="3"/>
  <c r="TN28" i="3"/>
  <c r="QR28" i="3"/>
  <c r="UA26" i="3"/>
  <c r="UG26" i="3"/>
  <c r="TT28" i="3"/>
  <c r="QP28" i="3"/>
  <c r="QW26" i="3"/>
  <c r="QX28" i="3"/>
  <c r="TU26" i="3"/>
  <c r="TZ28" i="3"/>
  <c r="RD23" i="3"/>
  <c r="RD27" i="3" s="1"/>
  <c r="RK22" i="3"/>
  <c r="RL23" i="3"/>
  <c r="RL27" i="3" s="1"/>
  <c r="RS22" i="3"/>
  <c r="UN23" i="3"/>
  <c r="UN27" i="3" s="1"/>
  <c r="UU22" i="3"/>
  <c r="UH23" i="3"/>
  <c r="UH27" i="3" s="1"/>
  <c r="UO22" i="3"/>
  <c r="RF23" i="3"/>
  <c r="RF27" i="3" s="1"/>
  <c r="RM22" i="3"/>
  <c r="UM22" i="3"/>
  <c r="UF23" i="3"/>
  <c r="UF27" i="3" s="1"/>
  <c r="UB23" i="3"/>
  <c r="UB27" i="3" s="1"/>
  <c r="UI22" i="3"/>
  <c r="RL3" i="4" l="1"/>
  <c r="RL25" i="3"/>
  <c r="RF3" i="4"/>
  <c r="RF25" i="3"/>
  <c r="RD3" i="4"/>
  <c r="RD25" i="3"/>
  <c r="UB3" i="4"/>
  <c r="UB25" i="3"/>
  <c r="UH3" i="4"/>
  <c r="UH25" i="3"/>
  <c r="UN3" i="4"/>
  <c r="UN25" i="3"/>
  <c r="UF3" i="4"/>
  <c r="UF25" i="3"/>
  <c r="UG28" i="3"/>
  <c r="TY28" i="3"/>
  <c r="UN26" i="3"/>
  <c r="RF26" i="3"/>
  <c r="UB26" i="3"/>
  <c r="TU28" i="3"/>
  <c r="RL26" i="3"/>
  <c r="UF26" i="3"/>
  <c r="UA28" i="3"/>
  <c r="RD26" i="3"/>
  <c r="QY28" i="3"/>
  <c r="RE28" i="3"/>
  <c r="UH26" i="3"/>
  <c r="QW28" i="3"/>
  <c r="VB22" i="3"/>
  <c r="UU23" i="3"/>
  <c r="UU27" i="3" s="1"/>
  <c r="RT22" i="3"/>
  <c r="RM23" i="3"/>
  <c r="RM27" i="3" s="1"/>
  <c r="RS23" i="3"/>
  <c r="RS27" i="3" s="1"/>
  <c r="RZ22" i="3"/>
  <c r="RK23" i="3"/>
  <c r="RK27" i="3" s="1"/>
  <c r="RR22" i="3"/>
  <c r="UI23" i="3"/>
  <c r="UI27" i="3" s="1"/>
  <c r="UP22" i="3"/>
  <c r="UT22" i="3"/>
  <c r="UM23" i="3"/>
  <c r="UM27" i="3" s="1"/>
  <c r="UV22" i="3"/>
  <c r="UO23" i="3"/>
  <c r="UO27" i="3" s="1"/>
  <c r="UO3" i="4" l="1"/>
  <c r="UO25" i="3"/>
  <c r="UM3" i="4"/>
  <c r="UM25" i="3"/>
  <c r="UI3" i="4"/>
  <c r="UI25" i="3"/>
  <c r="RM3" i="4"/>
  <c r="RM25" i="3"/>
  <c r="UU3" i="4"/>
  <c r="UU25" i="3"/>
  <c r="RK3" i="4"/>
  <c r="RK25" i="3"/>
  <c r="RS3" i="4"/>
  <c r="RS25" i="3"/>
  <c r="RF28" i="3"/>
  <c r="UB28" i="3"/>
  <c r="RD28" i="3"/>
  <c r="UO26" i="3"/>
  <c r="UI26" i="3"/>
  <c r="UU26" i="3"/>
  <c r="RS26" i="3"/>
  <c r="RM26" i="3"/>
  <c r="UM26" i="3"/>
  <c r="UM28" i="3" s="1"/>
  <c r="RK26" i="3"/>
  <c r="UN28" i="3"/>
  <c r="UF28" i="3"/>
  <c r="UH28" i="3"/>
  <c r="RL28" i="3"/>
  <c r="UO28" i="3"/>
  <c r="UP23" i="3"/>
  <c r="UP27" i="3" s="1"/>
  <c r="UW22" i="3"/>
  <c r="VC22" i="3"/>
  <c r="UV23" i="3"/>
  <c r="UV27" i="3" s="1"/>
  <c r="RZ23" i="3"/>
  <c r="RZ27" i="3" s="1"/>
  <c r="SG22" i="3"/>
  <c r="RY22" i="3"/>
  <c r="RR23" i="3"/>
  <c r="RR27" i="3" s="1"/>
  <c r="SA22" i="3"/>
  <c r="RT23" i="3"/>
  <c r="RT27" i="3" s="1"/>
  <c r="UT23" i="3"/>
  <c r="UT27" i="3" s="1"/>
  <c r="VA22" i="3"/>
  <c r="VB23" i="3"/>
  <c r="VB27" i="3" s="1"/>
  <c r="VI22" i="3"/>
  <c r="UT3" i="4" l="1"/>
  <c r="UT25" i="3"/>
  <c r="UP3" i="4"/>
  <c r="UP25" i="3"/>
  <c r="VB3" i="4"/>
  <c r="VB25" i="3"/>
  <c r="RM28" i="3"/>
  <c r="RT3" i="4"/>
  <c r="RT25" i="3"/>
  <c r="RR3" i="4"/>
  <c r="RR25" i="3"/>
  <c r="RZ3" i="4"/>
  <c r="RZ25" i="3"/>
  <c r="UV3" i="4"/>
  <c r="UV25" i="3"/>
  <c r="RK28" i="3"/>
  <c r="RT26" i="3"/>
  <c r="UV26" i="3"/>
  <c r="R37" i="3"/>
  <c r="T9" i="2" s="1"/>
  <c r="RR26" i="3"/>
  <c r="VB26" i="3"/>
  <c r="UU28" i="3"/>
  <c r="RS28" i="3"/>
  <c r="UT26" i="3"/>
  <c r="UP26" i="3"/>
  <c r="UI28" i="3"/>
  <c r="RZ26" i="3"/>
  <c r="SH22" i="3"/>
  <c r="SA23" i="3"/>
  <c r="SA27" i="3" s="1"/>
  <c r="SF22" i="3"/>
  <c r="RY23" i="3"/>
  <c r="RY27" i="3" s="1"/>
  <c r="UW23" i="3"/>
  <c r="UW27" i="3" s="1"/>
  <c r="VD22" i="3"/>
  <c r="SN22" i="3"/>
  <c r="SG23" i="3"/>
  <c r="SG27" i="3" s="1"/>
  <c r="VA23" i="3"/>
  <c r="VA27" i="3" s="1"/>
  <c r="VH22" i="3"/>
  <c r="VP22" i="3"/>
  <c r="VI23" i="3"/>
  <c r="VI27" i="3" s="1"/>
  <c r="VC23" i="3"/>
  <c r="VC27" i="3" s="1"/>
  <c r="VJ22" i="3"/>
  <c r="VI3" i="4" l="1"/>
  <c r="VI25" i="3"/>
  <c r="SA3" i="4"/>
  <c r="SA25" i="3"/>
  <c r="VA3" i="4"/>
  <c r="VA25" i="3"/>
  <c r="RY3" i="4"/>
  <c r="RY25" i="3"/>
  <c r="VC3" i="4"/>
  <c r="VC25" i="3"/>
  <c r="SG3" i="4"/>
  <c r="SG25" i="3"/>
  <c r="UW3" i="4"/>
  <c r="UW25" i="3"/>
  <c r="UV28" i="3"/>
  <c r="UT28" i="3"/>
  <c r="RR28" i="3"/>
  <c r="VC26" i="3"/>
  <c r="UW26" i="3"/>
  <c r="VA26" i="3"/>
  <c r="VB28" i="3"/>
  <c r="SA26" i="3"/>
  <c r="VI26" i="3"/>
  <c r="RY26" i="3"/>
  <c r="RZ28" i="3"/>
  <c r="UP28" i="3"/>
  <c r="SG26" i="3"/>
  <c r="RT28" i="3"/>
  <c r="VQ22" i="3"/>
  <c r="VJ23" i="3"/>
  <c r="VJ27" i="3" s="1"/>
  <c r="SN23" i="3"/>
  <c r="SN27" i="3" s="1"/>
  <c r="SU22" i="3"/>
  <c r="SM22" i="3"/>
  <c r="SF23" i="3"/>
  <c r="SF27" i="3" s="1"/>
  <c r="VP23" i="3"/>
  <c r="VP27" i="3" s="1"/>
  <c r="VW22" i="3"/>
  <c r="SH23" i="3"/>
  <c r="SH27" i="3" s="1"/>
  <c r="SO22" i="3"/>
  <c r="VH23" i="3"/>
  <c r="VH27" i="3" s="1"/>
  <c r="VO22" i="3"/>
  <c r="VD23" i="3"/>
  <c r="VD27" i="3" s="1"/>
  <c r="VK22" i="3"/>
  <c r="SF3" i="4" l="1"/>
  <c r="SF25" i="3"/>
  <c r="VH3" i="4"/>
  <c r="VH25" i="3"/>
  <c r="SH3" i="4"/>
  <c r="SH25" i="3"/>
  <c r="VJ3" i="4"/>
  <c r="VJ25" i="3"/>
  <c r="VD3" i="4"/>
  <c r="VD25" i="3"/>
  <c r="SN3" i="4"/>
  <c r="SN25" i="3"/>
  <c r="VP3" i="4"/>
  <c r="VP25" i="3"/>
  <c r="UW28" i="3"/>
  <c r="RY28" i="3"/>
  <c r="VC28" i="3"/>
  <c r="VI28" i="3"/>
  <c r="SN26" i="3"/>
  <c r="VJ26" i="3"/>
  <c r="VP26" i="3"/>
  <c r="SG28" i="3"/>
  <c r="VA28" i="3"/>
  <c r="VH26" i="3"/>
  <c r="SH26" i="3"/>
  <c r="SA28" i="3"/>
  <c r="VD26" i="3"/>
  <c r="SF26" i="3"/>
  <c r="VR22" i="3"/>
  <c r="VK23" i="3"/>
  <c r="VK27" i="3" s="1"/>
  <c r="SV22" i="3"/>
  <c r="SO23" i="3"/>
  <c r="SO27" i="3" s="1"/>
  <c r="VW23" i="3"/>
  <c r="VW27" i="3" s="1"/>
  <c r="WD22" i="3"/>
  <c r="SM23" i="3"/>
  <c r="SM27" i="3" s="1"/>
  <c r="ST22" i="3"/>
  <c r="SU23" i="3"/>
  <c r="SU27" i="3" s="1"/>
  <c r="TB22" i="3"/>
  <c r="VO23" i="3"/>
  <c r="VO27" i="3" s="1"/>
  <c r="VV22" i="3"/>
  <c r="VQ23" i="3"/>
  <c r="VQ27" i="3" s="1"/>
  <c r="VX22" i="3"/>
  <c r="SM3" i="4" l="1"/>
  <c r="SM25" i="3"/>
  <c r="VQ3" i="4"/>
  <c r="VQ25" i="3"/>
  <c r="VO3" i="4"/>
  <c r="VO25" i="3"/>
  <c r="VK3" i="4"/>
  <c r="VK25" i="3"/>
  <c r="VW3" i="4"/>
  <c r="VW25" i="3"/>
  <c r="SU3" i="4"/>
  <c r="SU25" i="3"/>
  <c r="SO3" i="4"/>
  <c r="SO25" i="3"/>
  <c r="VJ28" i="3"/>
  <c r="SH28" i="3"/>
  <c r="SN28" i="3"/>
  <c r="VH28" i="3"/>
  <c r="SO26" i="3"/>
  <c r="VQ26" i="3"/>
  <c r="SF28" i="3"/>
  <c r="SM26" i="3"/>
  <c r="VK26" i="3"/>
  <c r="VW26" i="3"/>
  <c r="SU26" i="3"/>
  <c r="VP28" i="3"/>
  <c r="VD28" i="3"/>
  <c r="VO26" i="3"/>
  <c r="ST23" i="3"/>
  <c r="ST27" i="3" s="1"/>
  <c r="TA22" i="3"/>
  <c r="VX23" i="3"/>
  <c r="VX27" i="3" s="1"/>
  <c r="WE22" i="3"/>
  <c r="WD23" i="3"/>
  <c r="WD27" i="3" s="1"/>
  <c r="WK22" i="3"/>
  <c r="TB23" i="3"/>
  <c r="TB27" i="3" s="1"/>
  <c r="TI22" i="3"/>
  <c r="TC22" i="3"/>
  <c r="SV23" i="3"/>
  <c r="SV27" i="3" s="1"/>
  <c r="VV23" i="3"/>
  <c r="VV27" i="3" s="1"/>
  <c r="WC22" i="3"/>
  <c r="VY22" i="3"/>
  <c r="VR23" i="3"/>
  <c r="VR27" i="3" s="1"/>
  <c r="VX3" i="4" l="1"/>
  <c r="VX25" i="3"/>
  <c r="VR3" i="4"/>
  <c r="VR25" i="3"/>
  <c r="TB3" i="4"/>
  <c r="TB25" i="3"/>
  <c r="WD3" i="4"/>
  <c r="WD25" i="3"/>
  <c r="ST3" i="4"/>
  <c r="ST25" i="3"/>
  <c r="VV3" i="4"/>
  <c r="VV25" i="3"/>
  <c r="SV3" i="4"/>
  <c r="SV25" i="3"/>
  <c r="S37" i="3"/>
  <c r="U9" i="2" s="1"/>
  <c r="VW28" i="3"/>
  <c r="SU28" i="3"/>
  <c r="VQ28" i="3"/>
  <c r="SM28" i="3"/>
  <c r="VX26" i="3"/>
  <c r="VR26" i="3"/>
  <c r="VV26" i="3"/>
  <c r="WD26" i="3"/>
  <c r="VK28" i="3"/>
  <c r="TB26" i="3"/>
  <c r="ST26" i="3"/>
  <c r="SV26" i="3"/>
  <c r="VO28" i="3"/>
  <c r="SO28" i="3"/>
  <c r="WC23" i="3"/>
  <c r="WC27" i="3" s="1"/>
  <c r="WJ22" i="3"/>
  <c r="WE23" i="3"/>
  <c r="WE27" i="3" s="1"/>
  <c r="WL22" i="3"/>
  <c r="TI23" i="3"/>
  <c r="TI27" i="3" s="1"/>
  <c r="TP22" i="3"/>
  <c r="VY23" i="3"/>
  <c r="VY27" i="3" s="1"/>
  <c r="WF22" i="3"/>
  <c r="TA23" i="3"/>
  <c r="TA27" i="3" s="1"/>
  <c r="TH22" i="3"/>
  <c r="TC23" i="3"/>
  <c r="TC27" i="3" s="1"/>
  <c r="TJ22" i="3"/>
  <c r="WK23" i="3"/>
  <c r="WK27" i="3" s="1"/>
  <c r="WR22" i="3"/>
  <c r="WC3" i="4" l="1"/>
  <c r="WC25" i="3"/>
  <c r="VY3" i="4"/>
  <c r="VY25" i="3"/>
  <c r="WK3" i="4"/>
  <c r="WK25" i="3"/>
  <c r="TC3" i="4"/>
  <c r="TC25" i="3"/>
  <c r="TA3" i="4"/>
  <c r="TA25" i="3"/>
  <c r="TI3" i="4"/>
  <c r="TI25" i="3"/>
  <c r="WE3" i="4"/>
  <c r="WE25" i="3"/>
  <c r="ST28" i="3"/>
  <c r="VV28" i="3"/>
  <c r="WE26" i="3"/>
  <c r="WC26" i="3"/>
  <c r="SV28" i="3"/>
  <c r="VY26" i="3"/>
  <c r="TB28" i="3"/>
  <c r="TA26" i="3"/>
  <c r="WK26" i="3"/>
  <c r="VR28" i="3"/>
  <c r="WD28" i="3"/>
  <c r="TC26" i="3"/>
  <c r="TI26" i="3"/>
  <c r="VX28" i="3"/>
  <c r="WF23" i="3"/>
  <c r="WF27" i="3" s="1"/>
  <c r="WM22" i="3"/>
  <c r="WL23" i="3"/>
  <c r="WL27" i="3" s="1"/>
  <c r="WS22" i="3"/>
  <c r="TQ22" i="3"/>
  <c r="TJ23" i="3"/>
  <c r="TJ27" i="3" s="1"/>
  <c r="WR23" i="3"/>
  <c r="WR27" i="3" s="1"/>
  <c r="WY22" i="3"/>
  <c r="TH23" i="3"/>
  <c r="TH27" i="3" s="1"/>
  <c r="TO22" i="3"/>
  <c r="TW22" i="3"/>
  <c r="TP23" i="3"/>
  <c r="TP27" i="3" s="1"/>
  <c r="WQ22" i="3"/>
  <c r="WJ23" i="3"/>
  <c r="WJ27" i="3" s="1"/>
  <c r="TP3" i="4" l="1"/>
  <c r="TP25" i="3"/>
  <c r="WR3" i="4"/>
  <c r="WR25" i="3"/>
  <c r="WF3" i="4"/>
  <c r="WF25" i="3"/>
  <c r="TJ3" i="4"/>
  <c r="TJ25" i="3"/>
  <c r="TH3" i="4"/>
  <c r="TH25" i="3"/>
  <c r="WJ3" i="4"/>
  <c r="WJ25" i="3"/>
  <c r="WL3" i="4"/>
  <c r="WL25" i="3"/>
  <c r="WK28" i="3"/>
  <c r="WC28" i="3"/>
  <c r="VY28" i="3"/>
  <c r="TA28" i="3"/>
  <c r="TI28" i="3"/>
  <c r="WE28" i="3"/>
  <c r="TP26" i="3"/>
  <c r="WF26" i="3"/>
  <c r="WL26" i="3"/>
  <c r="WR26" i="3"/>
  <c r="TJ26" i="3"/>
  <c r="TH26" i="3"/>
  <c r="TC28" i="3"/>
  <c r="WJ26" i="3"/>
  <c r="TW23" i="3"/>
  <c r="TW27" i="3" s="1"/>
  <c r="UD22" i="3"/>
  <c r="TQ23" i="3"/>
  <c r="TQ27" i="3" s="1"/>
  <c r="TX22" i="3"/>
  <c r="XF22" i="3"/>
  <c r="WY23" i="3"/>
  <c r="WY27" i="3" s="1"/>
  <c r="TV22" i="3"/>
  <c r="TO23" i="3"/>
  <c r="TO27" i="3" s="1"/>
  <c r="WM23" i="3"/>
  <c r="WM27" i="3" s="1"/>
  <c r="WT22" i="3"/>
  <c r="WZ22" i="3"/>
  <c r="WS23" i="3"/>
  <c r="WS27" i="3" s="1"/>
  <c r="WX22" i="3"/>
  <c r="WQ23" i="3"/>
  <c r="WQ27" i="3" s="1"/>
  <c r="TQ3" i="4" l="1"/>
  <c r="TQ25" i="3"/>
  <c r="WY3" i="4"/>
  <c r="WY25" i="3"/>
  <c r="WM3" i="4"/>
  <c r="WM25" i="3"/>
  <c r="TW3" i="4"/>
  <c r="TW25" i="3"/>
  <c r="TO3" i="4"/>
  <c r="TO25" i="3"/>
  <c r="WQ3" i="4"/>
  <c r="WQ25" i="3"/>
  <c r="WS3" i="4"/>
  <c r="WS25" i="3"/>
  <c r="TJ28" i="3"/>
  <c r="WF28" i="3"/>
  <c r="WJ28" i="3"/>
  <c r="WR28" i="3"/>
  <c r="WM26" i="3"/>
  <c r="WQ26" i="3"/>
  <c r="TW26" i="3"/>
  <c r="WY26" i="3"/>
  <c r="TH28" i="3"/>
  <c r="TQ26" i="3"/>
  <c r="TP28" i="3"/>
  <c r="TO26" i="3"/>
  <c r="WS26" i="3"/>
  <c r="WL28" i="3"/>
  <c r="XF23" i="3"/>
  <c r="XF27" i="3" s="1"/>
  <c r="XM22" i="3"/>
  <c r="XM23" i="3" s="1"/>
  <c r="XM27" i="3" s="1"/>
  <c r="WX23" i="3"/>
  <c r="WX27" i="3" s="1"/>
  <c r="XE22" i="3"/>
  <c r="TV23" i="3"/>
  <c r="TV27" i="3" s="1"/>
  <c r="UC22" i="3"/>
  <c r="WZ23" i="3"/>
  <c r="WZ27" i="3" s="1"/>
  <c r="XG22" i="3"/>
  <c r="UD23" i="3"/>
  <c r="UD27" i="3" s="1"/>
  <c r="UK22" i="3"/>
  <c r="UE22" i="3"/>
  <c r="TX23" i="3"/>
  <c r="TX27" i="3" s="1"/>
  <c r="WT23" i="3"/>
  <c r="WT27" i="3" s="1"/>
  <c r="XA22" i="3"/>
  <c r="WT3" i="4" l="1"/>
  <c r="WT25" i="3"/>
  <c r="WX3" i="4"/>
  <c r="WX25" i="3"/>
  <c r="XM3" i="4"/>
  <c r="XM25" i="3"/>
  <c r="TX3" i="4"/>
  <c r="TX25" i="3"/>
  <c r="XF3" i="4"/>
  <c r="XF25" i="3"/>
  <c r="UD3" i="4"/>
  <c r="UD25" i="3"/>
  <c r="TV3" i="4"/>
  <c r="TV25" i="3"/>
  <c r="WZ3" i="4"/>
  <c r="WZ25" i="3"/>
  <c r="WM28" i="3"/>
  <c r="TW28" i="3"/>
  <c r="TQ28" i="3"/>
  <c r="TO28" i="3"/>
  <c r="WS28" i="3"/>
  <c r="TV26" i="3"/>
  <c r="WY28" i="3"/>
  <c r="WX26" i="3"/>
  <c r="WT26" i="3"/>
  <c r="UD26" i="3"/>
  <c r="WQ28" i="3"/>
  <c r="XM26" i="3"/>
  <c r="TX26" i="3"/>
  <c r="WZ26" i="3"/>
  <c r="XF26" i="3"/>
  <c r="UR22" i="3"/>
  <c r="UK23" i="3"/>
  <c r="UK27" i="3" s="1"/>
  <c r="XA23" i="3"/>
  <c r="XA27" i="3" s="1"/>
  <c r="XH22" i="3"/>
  <c r="XN22" i="3"/>
  <c r="XN23" i="3" s="1"/>
  <c r="XN27" i="3" s="1"/>
  <c r="XG23" i="3"/>
  <c r="XG27" i="3" s="1"/>
  <c r="XL22" i="3"/>
  <c r="XL23" i="3" s="1"/>
  <c r="XL27" i="3" s="1"/>
  <c r="XE23" i="3"/>
  <c r="XE27" i="3" s="1"/>
  <c r="UE23" i="3"/>
  <c r="UE27" i="3" s="1"/>
  <c r="UL22" i="3"/>
  <c r="UJ22" i="3"/>
  <c r="UC23" i="3"/>
  <c r="UC27" i="3" s="1"/>
  <c r="XN3" i="4" l="1"/>
  <c r="XN25" i="3"/>
  <c r="UE3" i="4"/>
  <c r="UE25" i="3"/>
  <c r="XE3" i="4"/>
  <c r="XE25" i="3"/>
  <c r="XL3" i="4"/>
  <c r="XL25" i="3"/>
  <c r="XA3" i="4"/>
  <c r="XA25" i="3"/>
  <c r="UC3" i="4"/>
  <c r="UC25" i="3"/>
  <c r="UK3" i="4"/>
  <c r="UK25" i="3"/>
  <c r="XG3" i="4"/>
  <c r="XG25" i="3"/>
  <c r="XM28" i="3"/>
  <c r="UD28" i="3"/>
  <c r="WT28" i="3"/>
  <c r="WX28" i="3"/>
  <c r="TX28" i="3"/>
  <c r="XL26" i="3"/>
  <c r="WZ28" i="3"/>
  <c r="XA26" i="3"/>
  <c r="UC26" i="3"/>
  <c r="UK26" i="3"/>
  <c r="XF28" i="3"/>
  <c r="XE26" i="3"/>
  <c r="XG26" i="3"/>
  <c r="UE26" i="3"/>
  <c r="XN26" i="3"/>
  <c r="TV28" i="3"/>
  <c r="UJ23" i="3"/>
  <c r="UJ27" i="3" s="1"/>
  <c r="UQ22" i="3"/>
  <c r="UY22" i="3"/>
  <c r="UR23" i="3"/>
  <c r="UR27" i="3" s="1"/>
  <c r="XO22" i="3"/>
  <c r="XO23" i="3" s="1"/>
  <c r="XO27" i="3" s="1"/>
  <c r="XH23" i="3"/>
  <c r="XH27" i="3" s="1"/>
  <c r="UL23" i="3"/>
  <c r="UL27" i="3" s="1"/>
  <c r="US22" i="3"/>
  <c r="UR3" i="4" l="1"/>
  <c r="UR25" i="3"/>
  <c r="UL3" i="4"/>
  <c r="UL25" i="3"/>
  <c r="XH3" i="4"/>
  <c r="XH25" i="3"/>
  <c r="UJ3" i="4"/>
  <c r="UJ25" i="3"/>
  <c r="XO3" i="4"/>
  <c r="XO25" i="3"/>
  <c r="XN28" i="3"/>
  <c r="XA28" i="3"/>
  <c r="XE28" i="3"/>
  <c r="UJ26" i="3"/>
  <c r="XH26" i="3"/>
  <c r="XO26" i="3"/>
  <c r="UL26" i="3"/>
  <c r="UK28" i="3"/>
  <c r="UE28" i="3"/>
  <c r="XG28" i="3"/>
  <c r="XL28" i="3"/>
  <c r="UC28" i="3"/>
  <c r="UR26" i="3"/>
  <c r="UZ22" i="3"/>
  <c r="US23" i="3"/>
  <c r="US27" i="3" s="1"/>
  <c r="UY23" i="3"/>
  <c r="UY27" i="3" s="1"/>
  <c r="VF22" i="3"/>
  <c r="UQ23" i="3"/>
  <c r="UQ27" i="3" s="1"/>
  <c r="UX22" i="3"/>
  <c r="US3" i="4" l="1"/>
  <c r="US25" i="3"/>
  <c r="UY3" i="4"/>
  <c r="UY25" i="3"/>
  <c r="UQ3" i="4"/>
  <c r="UQ25" i="3"/>
  <c r="UJ28" i="3"/>
  <c r="XH28" i="3"/>
  <c r="UL28" i="3"/>
  <c r="UY26" i="3"/>
  <c r="US26" i="3"/>
  <c r="XO28" i="3"/>
  <c r="UQ26" i="3"/>
  <c r="UR28" i="3"/>
  <c r="UX23" i="3"/>
  <c r="UX27" i="3" s="1"/>
  <c r="VE22" i="3"/>
  <c r="VF23" i="3"/>
  <c r="VF27" i="3" s="1"/>
  <c r="VM22" i="3"/>
  <c r="UZ23" i="3"/>
  <c r="UZ27" i="3" s="1"/>
  <c r="VG22" i="3"/>
  <c r="UX3" i="4" l="1"/>
  <c r="UX25" i="3"/>
  <c r="UZ3" i="4"/>
  <c r="UZ25" i="3"/>
  <c r="VF3" i="4"/>
  <c r="VF25" i="3"/>
  <c r="UY28" i="3"/>
  <c r="US28" i="3"/>
  <c r="UX26" i="3"/>
  <c r="UQ28" i="3"/>
  <c r="VF26" i="3"/>
  <c r="UZ26" i="3"/>
  <c r="VT22" i="3"/>
  <c r="VM23" i="3"/>
  <c r="VM27" i="3" s="1"/>
  <c r="VE23" i="3"/>
  <c r="VE27" i="3" s="1"/>
  <c r="VL22" i="3"/>
  <c r="VG23" i="3"/>
  <c r="VG27" i="3" s="1"/>
  <c r="VN22" i="3"/>
  <c r="VE3" i="4" l="1"/>
  <c r="VE25" i="3"/>
  <c r="VM3" i="4"/>
  <c r="VM25" i="3"/>
  <c r="VG3" i="4"/>
  <c r="VG25" i="3"/>
  <c r="U37" i="3"/>
  <c r="W9" i="2" s="1"/>
  <c r="VF28" i="3"/>
  <c r="UZ28" i="3"/>
  <c r="VG26" i="3"/>
  <c r="VE26" i="3"/>
  <c r="VM26" i="3"/>
  <c r="UX28" i="3"/>
  <c r="VS22" i="3"/>
  <c r="VL23" i="3"/>
  <c r="VL27" i="3" s="1"/>
  <c r="VN23" i="3"/>
  <c r="VN27" i="3" s="1"/>
  <c r="VU22" i="3"/>
  <c r="VT23" i="3"/>
  <c r="VT27" i="3" s="1"/>
  <c r="WA22" i="3"/>
  <c r="VN3" i="4" l="1"/>
  <c r="VN25" i="3"/>
  <c r="VL3" i="4"/>
  <c r="VL25" i="3"/>
  <c r="VT3" i="4"/>
  <c r="VT25" i="3"/>
  <c r="VM28" i="3"/>
  <c r="VG28" i="3"/>
  <c r="VN26" i="3"/>
  <c r="VE28" i="3"/>
  <c r="VT26" i="3"/>
  <c r="VL26" i="3"/>
  <c r="VU23" i="3"/>
  <c r="VU27" i="3" s="1"/>
  <c r="WB22" i="3"/>
  <c r="VS23" i="3"/>
  <c r="VS27" i="3" s="1"/>
  <c r="VZ22" i="3"/>
  <c r="WA23" i="3"/>
  <c r="WA27" i="3" s="1"/>
  <c r="WH22" i="3"/>
  <c r="VU3" i="4" l="1"/>
  <c r="VU25" i="3"/>
  <c r="WA3" i="4"/>
  <c r="WA25" i="3"/>
  <c r="VS3" i="4"/>
  <c r="VS25" i="3"/>
  <c r="VN28" i="3"/>
  <c r="WA26" i="3"/>
  <c r="VT28" i="3"/>
  <c r="VS26" i="3"/>
  <c r="VU26" i="3"/>
  <c r="VL28" i="3"/>
  <c r="WG22" i="3"/>
  <c r="VZ23" i="3"/>
  <c r="VZ27" i="3" s="1"/>
  <c r="WI22" i="3"/>
  <c r="WB23" i="3"/>
  <c r="WB27" i="3" s="1"/>
  <c r="WO22" i="3"/>
  <c r="WH23" i="3"/>
  <c r="WH27" i="3" s="1"/>
  <c r="WB3" i="4" l="1"/>
  <c r="WB25" i="3"/>
  <c r="VZ3" i="4"/>
  <c r="VZ25" i="3"/>
  <c r="WH3" i="4"/>
  <c r="WH25" i="3"/>
  <c r="WA28" i="3"/>
  <c r="VU28" i="3"/>
  <c r="VZ26" i="3"/>
  <c r="WB26" i="3"/>
  <c r="VS28" i="3"/>
  <c r="WH26" i="3"/>
  <c r="WV22" i="3"/>
  <c r="WO23" i="3"/>
  <c r="WO27" i="3" s="1"/>
  <c r="WI23" i="3"/>
  <c r="WI27" i="3" s="1"/>
  <c r="WP22" i="3"/>
  <c r="WN22" i="3"/>
  <c r="WG23" i="3"/>
  <c r="WG27" i="3" s="1"/>
  <c r="WO3" i="4" l="1"/>
  <c r="WO25" i="3"/>
  <c r="WG3" i="4"/>
  <c r="WG25" i="3"/>
  <c r="WI3" i="4"/>
  <c r="WI25" i="3"/>
  <c r="WH28" i="3"/>
  <c r="VZ28" i="3"/>
  <c r="WI26" i="3"/>
  <c r="WB28" i="3"/>
  <c r="WO26" i="3"/>
  <c r="WG26" i="3"/>
  <c r="WU22" i="3"/>
  <c r="WN23" i="3"/>
  <c r="WN27" i="3" s="1"/>
  <c r="WV23" i="3"/>
  <c r="WV27" i="3" s="1"/>
  <c r="XC22" i="3"/>
  <c r="WW22" i="3"/>
  <c r="WP23" i="3"/>
  <c r="WP27" i="3" s="1"/>
  <c r="WV3" i="4" l="1"/>
  <c r="WV25" i="3"/>
  <c r="WN3" i="4"/>
  <c r="WN25" i="3"/>
  <c r="WP3" i="4"/>
  <c r="WP25" i="3"/>
  <c r="WI28" i="3"/>
  <c r="WG28" i="3"/>
  <c r="WP26" i="3"/>
  <c r="WV26" i="3"/>
  <c r="WO28" i="3"/>
  <c r="WN26" i="3"/>
  <c r="XC23" i="3"/>
  <c r="XC27" i="3" s="1"/>
  <c r="XJ22" i="3"/>
  <c r="WP28" i="3"/>
  <c r="WW23" i="3"/>
  <c r="WW27" i="3" s="1"/>
  <c r="XD22" i="3"/>
  <c r="WU23" i="3"/>
  <c r="WU27" i="3" s="1"/>
  <c r="XB22" i="3"/>
  <c r="XC3" i="4" l="1"/>
  <c r="XC25" i="3"/>
  <c r="WU3" i="4"/>
  <c r="WU25" i="3"/>
  <c r="WW3" i="4"/>
  <c r="WW25" i="3"/>
  <c r="XC26" i="3"/>
  <c r="WN28" i="3"/>
  <c r="WW26" i="3"/>
  <c r="WU26" i="3"/>
  <c r="WV28" i="3"/>
  <c r="XB23" i="3"/>
  <c r="XB27" i="3" s="1"/>
  <c r="XI22" i="3"/>
  <c r="XD23" i="3"/>
  <c r="XD27" i="3" s="1"/>
  <c r="XK22" i="3"/>
  <c r="XK23" i="3" s="1"/>
  <c r="XK27" i="3" s="1"/>
  <c r="XJ23" i="3"/>
  <c r="XJ27" i="3" s="1"/>
  <c r="XQ22" i="3"/>
  <c r="XQ23" i="3" s="1"/>
  <c r="XQ27" i="3" s="1"/>
  <c r="XJ3" i="4" l="1"/>
  <c r="XJ25" i="3"/>
  <c r="XB3" i="4"/>
  <c r="XB25" i="3"/>
  <c r="WW28" i="3"/>
  <c r="XK3" i="4"/>
  <c r="XK25" i="3"/>
  <c r="XD3" i="4"/>
  <c r="XD25" i="3"/>
  <c r="XQ3" i="4"/>
  <c r="XQ25" i="3"/>
  <c r="D35" i="3"/>
  <c r="E35" i="3"/>
  <c r="E36" i="3" s="1"/>
  <c r="H35" i="3"/>
  <c r="H36" i="3" s="1"/>
  <c r="F35" i="3"/>
  <c r="F36" i="3" s="1"/>
  <c r="G35" i="3"/>
  <c r="G36" i="3" s="1"/>
  <c r="K35" i="3"/>
  <c r="K36" i="3" s="1"/>
  <c r="I35" i="3"/>
  <c r="I36" i="3" s="1"/>
  <c r="J35" i="3"/>
  <c r="J36" i="3" s="1"/>
  <c r="N35" i="3"/>
  <c r="N36" i="3" s="1"/>
  <c r="L35" i="3"/>
  <c r="L36" i="3" s="1"/>
  <c r="M35" i="3"/>
  <c r="M36" i="3" s="1"/>
  <c r="O35" i="3"/>
  <c r="O36" i="3" s="1"/>
  <c r="P35" i="3"/>
  <c r="P36" i="3" s="1"/>
  <c r="Q35" i="3"/>
  <c r="Q36" i="3" s="1"/>
  <c r="R35" i="3"/>
  <c r="R36" i="3" s="1"/>
  <c r="S35" i="3"/>
  <c r="S36" i="3" s="1"/>
  <c r="V35" i="3"/>
  <c r="V36" i="3" s="1"/>
  <c r="T35" i="3"/>
  <c r="T36" i="3" s="1"/>
  <c r="U35" i="3"/>
  <c r="U36" i="3" s="1"/>
  <c r="WU28" i="3"/>
  <c r="XQ26" i="3"/>
  <c r="XJ26" i="3"/>
  <c r="XK26" i="3"/>
  <c r="XD26" i="3"/>
  <c r="XC28" i="3"/>
  <c r="XB26" i="3"/>
  <c r="XI23" i="3"/>
  <c r="XI27" i="3" s="1"/>
  <c r="XP22" i="3"/>
  <c r="XP23" i="3" s="1"/>
  <c r="XP27" i="3" s="1"/>
  <c r="XP3" i="4" l="1"/>
  <c r="XP25" i="3"/>
  <c r="XI3" i="4"/>
  <c r="XI25" i="3"/>
  <c r="F37" i="3"/>
  <c r="H9" i="2" s="1"/>
  <c r="H37" i="3"/>
  <c r="J9" i="2" s="1"/>
  <c r="I37" i="3"/>
  <c r="K9" i="2" s="1"/>
  <c r="K37" i="3"/>
  <c r="M9" i="2" s="1"/>
  <c r="N37" i="3"/>
  <c r="P9" i="2" s="1"/>
  <c r="T37" i="3"/>
  <c r="V9" i="2" s="1"/>
  <c r="V37" i="3"/>
  <c r="X9" i="2" s="1"/>
  <c r="C38" i="3"/>
  <c r="D38" i="3"/>
  <c r="E38" i="3"/>
  <c r="H38" i="3"/>
  <c r="F38" i="3"/>
  <c r="G38" i="3"/>
  <c r="K38" i="3"/>
  <c r="I38" i="3"/>
  <c r="J38" i="3"/>
  <c r="N38" i="3"/>
  <c r="L38" i="3"/>
  <c r="M38" i="3"/>
  <c r="O38" i="3"/>
  <c r="P38" i="3"/>
  <c r="Q38" i="3"/>
  <c r="R38" i="3"/>
  <c r="S38" i="3"/>
  <c r="V38" i="3"/>
  <c r="T38" i="3"/>
  <c r="U38" i="3"/>
  <c r="E39" i="3"/>
  <c r="G10" i="2" s="1"/>
  <c r="D39" i="3"/>
  <c r="F10" i="2" s="1"/>
  <c r="H39" i="3"/>
  <c r="J10" i="2" s="1"/>
  <c r="F39" i="3"/>
  <c r="H10" i="2" s="1"/>
  <c r="G39" i="3"/>
  <c r="I10" i="2" s="1"/>
  <c r="K39" i="3"/>
  <c r="M10" i="2" s="1"/>
  <c r="I39" i="3"/>
  <c r="K10" i="2" s="1"/>
  <c r="J39" i="3"/>
  <c r="L10" i="2" s="1"/>
  <c r="N39" i="3"/>
  <c r="P10" i="2" s="1"/>
  <c r="L39" i="3"/>
  <c r="N10" i="2" s="1"/>
  <c r="M39" i="3"/>
  <c r="O10" i="2" s="1"/>
  <c r="O39" i="3"/>
  <c r="Q10" i="2" s="1"/>
  <c r="S39" i="3"/>
  <c r="U10" i="2" s="1"/>
  <c r="Q39" i="3"/>
  <c r="S10" i="2" s="1"/>
  <c r="R39" i="3"/>
  <c r="T10" i="2" s="1"/>
  <c r="V39" i="3"/>
  <c r="X10" i="2" s="1"/>
  <c r="T39" i="3"/>
  <c r="V10" i="2" s="1"/>
  <c r="U39" i="3"/>
  <c r="W10" i="2" s="1"/>
  <c r="W35" i="3"/>
  <c r="W36" i="3" s="1"/>
  <c r="E50" i="3"/>
  <c r="D36" i="3"/>
  <c r="D50" i="3"/>
  <c r="G50" i="3"/>
  <c r="F50" i="3"/>
  <c r="H50" i="3"/>
  <c r="J50" i="3"/>
  <c r="K50" i="3"/>
  <c r="I50" i="3"/>
  <c r="XJ28" i="3"/>
  <c r="XQ28" i="3"/>
  <c r="XB28" i="3"/>
  <c r="XK28" i="3"/>
  <c r="XI26" i="3"/>
  <c r="W37" i="3"/>
  <c r="Y9" i="2" s="1"/>
  <c r="XP26" i="3"/>
  <c r="XD28" i="3"/>
  <c r="W39" i="3"/>
  <c r="Y10" i="2" s="1"/>
  <c r="W38" i="3" l="1"/>
  <c r="E40" i="3"/>
  <c r="G11" i="2" s="1"/>
  <c r="F27" i="4" s="1"/>
  <c r="D40" i="3"/>
  <c r="F11" i="2" s="1"/>
  <c r="E27" i="4" s="1"/>
  <c r="H40" i="3"/>
  <c r="J11" i="2" s="1"/>
  <c r="I27" i="4" s="1"/>
  <c r="F40" i="3"/>
  <c r="H11" i="2" s="1"/>
  <c r="G40" i="3"/>
  <c r="I11" i="2" s="1"/>
  <c r="H27" i="4" s="1"/>
  <c r="K40" i="3"/>
  <c r="M11" i="2" s="1"/>
  <c r="I40" i="3"/>
  <c r="K11" i="2" s="1"/>
  <c r="J40" i="3"/>
  <c r="L11" i="2" s="1"/>
  <c r="N40" i="3"/>
  <c r="P11" i="2" s="1"/>
  <c r="O27" i="4" s="1"/>
  <c r="L40" i="3"/>
  <c r="N11" i="2" s="1"/>
  <c r="M27" i="4" s="1"/>
  <c r="M40" i="3"/>
  <c r="O11" i="2" s="1"/>
  <c r="O40" i="3"/>
  <c r="Q11" i="2" s="1"/>
  <c r="P40" i="3"/>
  <c r="R11" i="2" s="1"/>
  <c r="Q40" i="3"/>
  <c r="S11" i="2" s="1"/>
  <c r="R40" i="3"/>
  <c r="T11" i="2" s="1"/>
  <c r="S40" i="3"/>
  <c r="U11" i="2" s="1"/>
  <c r="V40" i="3"/>
  <c r="X11" i="2" s="1"/>
  <c r="T40" i="3"/>
  <c r="V11" i="2" s="1"/>
  <c r="U40" i="3"/>
  <c r="W11" i="2" s="1"/>
  <c r="G18" i="2"/>
  <c r="XI28" i="3"/>
  <c r="XP28" i="3"/>
  <c r="W40" i="3" s="1"/>
  <c r="Y11" i="2" s="1"/>
  <c r="J18" i="2" l="1"/>
  <c r="P18" i="2"/>
  <c r="P19" i="2" s="1"/>
  <c r="P21" i="2" s="1"/>
  <c r="P22" i="2" s="1"/>
  <c r="F18" i="2"/>
  <c r="F19" i="2" s="1"/>
  <c r="F21" i="2" s="1"/>
  <c r="F22" i="2" s="1"/>
  <c r="F23" i="2" s="1"/>
  <c r="N18" i="2"/>
  <c r="N19" i="2" s="1"/>
  <c r="N21" i="2" s="1"/>
  <c r="I18" i="2"/>
  <c r="I19" i="2" s="1"/>
  <c r="I21" i="2" s="1"/>
  <c r="I22" i="2" s="1"/>
  <c r="L18" i="2"/>
  <c r="L19" i="2" s="1"/>
  <c r="L21" i="2" s="1"/>
  <c r="K27" i="4"/>
  <c r="T18" i="2"/>
  <c r="T19" i="2" s="1"/>
  <c r="T21" i="2" s="1"/>
  <c r="S27" i="4"/>
  <c r="K18" i="2"/>
  <c r="J27" i="4"/>
  <c r="M18" i="2"/>
  <c r="M19" i="2" s="1"/>
  <c r="M21" i="2" s="1"/>
  <c r="L27" i="4"/>
  <c r="E52" i="4"/>
  <c r="R18" i="2"/>
  <c r="R19" i="2" s="1"/>
  <c r="R21" i="2" s="1"/>
  <c r="Q27" i="4"/>
  <c r="H18" i="2"/>
  <c r="H19" i="2" s="1"/>
  <c r="H21" i="2" s="1"/>
  <c r="G27" i="4"/>
  <c r="S18" i="2"/>
  <c r="S19" i="2" s="1"/>
  <c r="S21" i="2" s="1"/>
  <c r="R27" i="4"/>
  <c r="N22" i="2"/>
  <c r="M52" i="4"/>
  <c r="W18" i="2"/>
  <c r="W19" i="2" s="1"/>
  <c r="W21" i="2" s="1"/>
  <c r="V27" i="4"/>
  <c r="O18" i="2"/>
  <c r="O19" i="2" s="1"/>
  <c r="O21" i="2" s="1"/>
  <c r="N27" i="4"/>
  <c r="Q18" i="2"/>
  <c r="Q19" i="2" s="1"/>
  <c r="Q21" i="2" s="1"/>
  <c r="P27" i="4"/>
  <c r="V18" i="2"/>
  <c r="V19" i="2" s="1"/>
  <c r="V21" i="2" s="1"/>
  <c r="U27" i="4"/>
  <c r="Y18" i="2"/>
  <c r="Y19" i="2" s="1"/>
  <c r="Y21" i="2" s="1"/>
  <c r="X27" i="4"/>
  <c r="X18" i="2"/>
  <c r="X19" i="2" s="1"/>
  <c r="X21" i="2" s="1"/>
  <c r="W27" i="4"/>
  <c r="U18" i="2"/>
  <c r="U19" i="2" s="1"/>
  <c r="U21" i="2" s="1"/>
  <c r="T27" i="4"/>
  <c r="J19" i="2"/>
  <c r="J21" i="2" s="1"/>
  <c r="K19" i="2"/>
  <c r="K21" i="2" s="1"/>
  <c r="G19" i="2"/>
  <c r="G21" i="2" s="1"/>
  <c r="O52" i="4" l="1"/>
  <c r="H52" i="4"/>
  <c r="Y22" i="2"/>
  <c r="X52" i="4"/>
  <c r="G22" i="2"/>
  <c r="F52" i="4"/>
  <c r="J22" i="2"/>
  <c r="I52" i="4"/>
  <c r="K22" i="2"/>
  <c r="J52" i="4"/>
  <c r="T22" i="2"/>
  <c r="S52" i="4"/>
  <c r="V22" i="2"/>
  <c r="U52" i="4"/>
  <c r="R22" i="2"/>
  <c r="Q52" i="4"/>
  <c r="S22" i="2"/>
  <c r="R52" i="4"/>
  <c r="U22" i="2"/>
  <c r="T52" i="4"/>
  <c r="W22" i="2"/>
  <c r="V52" i="4"/>
  <c r="Q22" i="2"/>
  <c r="P52" i="4"/>
  <c r="X22" i="2"/>
  <c r="W52" i="4"/>
  <c r="O22" i="2"/>
  <c r="N52" i="4"/>
  <c r="H22" i="2"/>
  <c r="G52" i="4"/>
  <c r="M22" i="2"/>
  <c r="L52" i="4"/>
  <c r="L22" i="2"/>
  <c r="K52" i="4"/>
  <c r="I23" i="2" l="1"/>
  <c r="Y23" i="2"/>
  <c r="U23" i="2"/>
  <c r="W23" i="2"/>
  <c r="N23" i="2"/>
  <c r="O23" i="2"/>
  <c r="S23" i="2"/>
  <c r="H23" i="2"/>
  <c r="L23" i="2"/>
  <c r="M23" i="2"/>
  <c r="P23" i="2"/>
  <c r="K23" i="2"/>
  <c r="T23" i="2"/>
  <c r="Q23" i="2"/>
  <c r="R23" i="2"/>
  <c r="X23" i="2"/>
  <c r="V23" i="2"/>
  <c r="G23" i="2"/>
  <c r="J23" i="2"/>
</calcChain>
</file>

<file path=xl/sharedStrings.xml><?xml version="1.0" encoding="utf-8"?>
<sst xmlns="http://schemas.openxmlformats.org/spreadsheetml/2006/main" count="818" uniqueCount="150">
  <si>
    <t xml:space="preserve">Paint </t>
  </si>
  <si>
    <t xml:space="preserve">Building costs </t>
  </si>
  <si>
    <t>Budget</t>
  </si>
  <si>
    <t xml:space="preserve">Blender </t>
  </si>
  <si>
    <t>Sandwich m</t>
  </si>
  <si>
    <t>Fridge</t>
  </si>
  <si>
    <t>Deposit</t>
  </si>
  <si>
    <t>Registration</t>
  </si>
  <si>
    <t>Cups</t>
  </si>
  <si>
    <t>Cutlery</t>
  </si>
  <si>
    <t xml:space="preserve">Glasses </t>
  </si>
  <si>
    <t>Sit down cups</t>
  </si>
  <si>
    <t>Branding</t>
  </si>
  <si>
    <t>Lights</t>
  </si>
  <si>
    <t>Website</t>
  </si>
  <si>
    <t xml:space="preserve">Electrisity </t>
  </si>
  <si>
    <t xml:space="preserve">Sugar </t>
  </si>
  <si>
    <t>Staff</t>
  </si>
  <si>
    <t>Health and Safety</t>
  </si>
  <si>
    <t xml:space="preserve">Fire egstinguisher </t>
  </si>
  <si>
    <t xml:space="preserve">Pest control </t>
  </si>
  <si>
    <t>Month</t>
  </si>
  <si>
    <t>Tablet</t>
  </si>
  <si>
    <t>Yoco</t>
  </si>
  <si>
    <t>Once-off</t>
  </si>
  <si>
    <t>Architect</t>
  </si>
  <si>
    <t>Once-off costs</t>
  </si>
  <si>
    <t>Recurring costs</t>
  </si>
  <si>
    <t>Microwave</t>
  </si>
  <si>
    <t xml:space="preserve">Generator </t>
  </si>
  <si>
    <t>Coffee</t>
  </si>
  <si>
    <t>Rent</t>
  </si>
  <si>
    <t>Total</t>
  </si>
  <si>
    <t>Takeway cups - smoothi</t>
  </si>
  <si>
    <t xml:space="preserve">Takeaway items </t>
  </si>
  <si>
    <t xml:space="preserve">Later monthly costs </t>
  </si>
  <si>
    <t>Coffee beans</t>
  </si>
  <si>
    <t>Beans</t>
  </si>
  <si>
    <t>Milk</t>
  </si>
  <si>
    <t>Average price per item</t>
  </si>
  <si>
    <t>Mark-up</t>
  </si>
  <si>
    <t xml:space="preserve">Yoco machine </t>
  </si>
  <si>
    <t>Sinage</t>
  </si>
  <si>
    <t>Tables</t>
  </si>
  <si>
    <t>Chairs</t>
  </si>
  <si>
    <t>Umbrella</t>
  </si>
  <si>
    <t>Sugar</t>
  </si>
  <si>
    <t>Yoco sales cost</t>
  </si>
  <si>
    <t>Later occuring costs</t>
  </si>
  <si>
    <t>Cups to sell</t>
  </si>
  <si>
    <t>Insurance</t>
  </si>
  <si>
    <t>Food items to sell</t>
  </si>
  <si>
    <t>Food</t>
  </si>
  <si>
    <t>Selling price</t>
  </si>
  <si>
    <t>Price</t>
  </si>
  <si>
    <t>Coffee machine</t>
  </si>
  <si>
    <t xml:space="preserve">Total sales income </t>
  </si>
  <si>
    <t>Total Net income</t>
  </si>
  <si>
    <t>Interest rate</t>
  </si>
  <si>
    <t>Discount</t>
  </si>
  <si>
    <t>Goal seek</t>
  </si>
  <si>
    <t>Coffeee</t>
  </si>
  <si>
    <t xml:space="preserve">Coffee cups included </t>
  </si>
  <si>
    <t>Start-up costs</t>
  </si>
  <si>
    <t xml:space="preserve">Decorations </t>
  </si>
  <si>
    <t xml:space="preserve">Marketing </t>
  </si>
  <si>
    <t xml:space="preserve">Once-off costs </t>
  </si>
  <si>
    <t xml:space="preserve">Monthly costs </t>
  </si>
  <si>
    <t>Monthly percetages</t>
  </si>
  <si>
    <t>Gas</t>
  </si>
  <si>
    <t>Coffee costs</t>
  </si>
  <si>
    <t>Unit</t>
  </si>
  <si>
    <t>Price per unit</t>
  </si>
  <si>
    <t>Food Costs</t>
  </si>
  <si>
    <t>Price of cup of coffee</t>
  </si>
  <si>
    <t>% people using sugar</t>
  </si>
  <si>
    <t>Cost of coffee</t>
  </si>
  <si>
    <t>Income</t>
  </si>
  <si>
    <t xml:space="preserve">Coffee profit </t>
  </si>
  <si>
    <t>Cost of food</t>
  </si>
  <si>
    <t>Income from food</t>
  </si>
  <si>
    <t>Food profit</t>
  </si>
  <si>
    <t>Food sales factor</t>
  </si>
  <si>
    <t>Food increasing factor</t>
  </si>
  <si>
    <t>Income from coffee</t>
  </si>
  <si>
    <t>Months</t>
  </si>
  <si>
    <t>Cups per day</t>
  </si>
  <si>
    <t>1 kg pack of coffee beans</t>
  </si>
  <si>
    <t>Liters of milk</t>
  </si>
  <si>
    <t>When will the cups run-out?</t>
  </si>
  <si>
    <t xml:space="preserve">Total cups </t>
  </si>
  <si>
    <t>Cups left</t>
  </si>
  <si>
    <t>Monday</t>
  </si>
  <si>
    <t>Tuesday</t>
  </si>
  <si>
    <t>Wednesday</t>
  </si>
  <si>
    <t>Thursday</t>
  </si>
  <si>
    <t>Friday</t>
  </si>
  <si>
    <t>Saturday</t>
  </si>
  <si>
    <t>Sunday</t>
  </si>
  <si>
    <t>Day of the week</t>
  </si>
  <si>
    <t>Daily factor</t>
  </si>
  <si>
    <t>Cups to sell with factor</t>
  </si>
  <si>
    <t>Total budget</t>
  </si>
  <si>
    <t>Price of sugar</t>
  </si>
  <si>
    <t>Exact date</t>
  </si>
  <si>
    <t>Price of food items</t>
  </si>
  <si>
    <t>Monthly view</t>
  </si>
  <si>
    <t>Food items per day</t>
  </si>
  <si>
    <t>Cumulative sum</t>
  </si>
  <si>
    <t>How much to buy of everything - Weekly view</t>
  </si>
  <si>
    <t>Daily view</t>
  </si>
  <si>
    <t>Date</t>
  </si>
  <si>
    <t>1. Coffee sales</t>
  </si>
  <si>
    <t>2. Profit</t>
  </si>
  <si>
    <t>Coffe profit</t>
  </si>
  <si>
    <t>Profit</t>
  </si>
  <si>
    <t>3. Total Profit</t>
  </si>
  <si>
    <t>Self-made food</t>
  </si>
  <si>
    <t>Bread</t>
  </si>
  <si>
    <t>Butter</t>
  </si>
  <si>
    <t>Tomato</t>
  </si>
  <si>
    <t xml:space="preserve">Onions </t>
  </si>
  <si>
    <t>Cheese</t>
  </si>
  <si>
    <t xml:space="preserve">Bacon </t>
  </si>
  <si>
    <t>Avo</t>
  </si>
  <si>
    <t>Units to serve</t>
  </si>
  <si>
    <t>Sell at discount</t>
  </si>
  <si>
    <t>Discount price</t>
  </si>
  <si>
    <t>Discount %</t>
  </si>
  <si>
    <t xml:space="preserve">Reserves build up to pay for </t>
  </si>
  <si>
    <t>coffee</t>
  </si>
  <si>
    <t>milk</t>
  </si>
  <si>
    <t>cups</t>
  </si>
  <si>
    <t>Lag of coffee sales to account</t>
  </si>
  <si>
    <t xml:space="preserve">Discount </t>
  </si>
  <si>
    <t>Food items</t>
  </si>
  <si>
    <t xml:space="preserve">Plain crossaint </t>
  </si>
  <si>
    <t>Ham and cheese crossaint</t>
  </si>
  <si>
    <t>Cheese and Tomato crosssaint</t>
  </si>
  <si>
    <t xml:space="preserve">Mini Choclate crossaint </t>
  </si>
  <si>
    <t>Custard container</t>
  </si>
  <si>
    <t>Brownies</t>
  </si>
  <si>
    <t xml:space="preserve">Oat Crunchies </t>
  </si>
  <si>
    <t xml:space="preserve">Choclate squares </t>
  </si>
  <si>
    <t>Pasteis de Nata</t>
  </si>
  <si>
    <t>Price ex Vat</t>
  </si>
  <si>
    <t>Vat</t>
  </si>
  <si>
    <t>Mark-up %</t>
  </si>
  <si>
    <t>Mark-up Rand</t>
  </si>
  <si>
    <t>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</si>
</sst>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43" fontId="0" fillId="0" borderId="0" xfId="1" applyFont="1"/>
    <xf numFmtId="17" fontId="0" fillId="0" borderId="0" xfId="0" applyNumberFormat="1"/>
    <xf numFmtId="43" fontId="0" fillId="0" borderId="0" xfId="0" applyNumberFormat="1"/>
    <xf numFmtId="10" fontId="0" fillId="0" borderId="0" xfId="2" applyNumberFormat="1" applyFont="1"/>
    <xf numFmtId="2" fontId="0" fillId="0" borderId="0" xfId="0" applyNumberFormat="1"/>
    <xf numFmtId="2" fontId="0" fillId="0" borderId="0" xfId="2" applyNumberFormat="1" applyFont="1"/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10" fontId="0" fillId="0" borderId="2" xfId="2" applyNumberFormat="1" applyFont="1" applyBorder="1"/>
    <xf numFmtId="9" fontId="0" fillId="0" borderId="2" xfId="2" applyFont="1" applyBorder="1"/>
    <xf numFmtId="2" fontId="0" fillId="0" borderId="2" xfId="0" applyNumberFormat="1" applyBorder="1"/>
    <xf numFmtId="15" fontId="0" fillId="0" borderId="0" xfId="0" applyNumberFormat="1"/>
    <xf numFmtId="164" fontId="0" fillId="0" borderId="0" xfId="0" applyNumberFormat="1"/>
    <xf numFmtId="1" fontId="0" fillId="0" borderId="0" xfId="0" applyNumberFormat="1"/>
    <xf numFmtId="43" fontId="0" fillId="0" borderId="0" xfId="1" applyFont="1" applyBorder="1"/>
    <xf numFmtId="43" fontId="0" fillId="0" borderId="3" xfId="1" applyFont="1" applyBorder="1"/>
    <xf numFmtId="43" fontId="0" fillId="0" borderId="3" xfId="0" applyNumberFormat="1" applyBorder="1"/>
    <xf numFmtId="0" fontId="0" fillId="2" borderId="0" xfId="0" applyFill="1"/>
    <xf numFmtId="0" fontId="2" fillId="2" borderId="0" xfId="0" applyFont="1" applyFill="1"/>
    <xf numFmtId="2" fontId="0" fillId="0" borderId="1" xfId="0" applyNumberFormat="1" applyBorder="1"/>
    <xf numFmtId="10" fontId="0" fillId="0" borderId="0" xfId="2" applyNumberFormat="1" applyFont="1" applyBorder="1"/>
    <xf numFmtId="0" fontId="0" fillId="0" borderId="0" xfId="0" applyAlignment="1">
      <alignment horizontal="right"/>
    </xf>
    <xf numFmtId="10" fontId="0" fillId="2" borderId="0" xfId="2" applyNumberFormat="1" applyFont="1" applyFill="1" applyBorder="1"/>
    <xf numFmtId="2" fontId="0" fillId="2" borderId="0" xfId="0" applyNumberFormat="1" applyFill="1"/>
    <xf numFmtId="2" fontId="0" fillId="0" borderId="2" xfId="2" applyNumberFormat="1" applyFont="1" applyBorder="1"/>
    <xf numFmtId="1" fontId="0" fillId="0" borderId="2" xfId="2" applyNumberFormat="1" applyFont="1" applyBorder="1"/>
    <xf numFmtId="1" fontId="2" fillId="0" borderId="0" xfId="0" applyNumberFormat="1" applyFont="1"/>
    <xf numFmtId="43" fontId="0" fillId="3" borderId="2" xfId="1" applyFont="1" applyFill="1" applyBorder="1"/>
    <xf numFmtId="10" fontId="0" fillId="3" borderId="2" xfId="2" applyNumberFormat="1" applyFont="1" applyFill="1" applyBorder="1"/>
    <xf numFmtId="43" fontId="2" fillId="0" borderId="0" xfId="1" applyFont="1"/>
    <xf numFmtId="43" fontId="1" fillId="0" borderId="2" xfId="1" applyFont="1" applyBorder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Graphs!$B$3</c:f>
              <c:strCache>
                <c:ptCount val="1"/>
                <c:pt idx="0">
                  <c:v>Cups to sell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Graphs!$C$2:$BI$2</c:f>
              <c:numCache>
                <c:formatCode>d\-mmm\-yy</c:formatCode>
                <c:ptCount val="59"/>
                <c:pt idx="0">
                  <c:v>45019</c:v>
                </c:pt>
                <c:pt idx="1">
                  <c:v>45020</c:v>
                </c:pt>
                <c:pt idx="2">
                  <c:v>45021</c:v>
                </c:pt>
                <c:pt idx="3">
                  <c:v>45022</c:v>
                </c:pt>
                <c:pt idx="4">
                  <c:v>45023</c:v>
                </c:pt>
                <c:pt idx="5">
                  <c:v>45024</c:v>
                </c:pt>
                <c:pt idx="6">
                  <c:v>45025</c:v>
                </c:pt>
                <c:pt idx="7">
                  <c:v>45026</c:v>
                </c:pt>
                <c:pt idx="8">
                  <c:v>45027</c:v>
                </c:pt>
                <c:pt idx="9">
                  <c:v>45028</c:v>
                </c:pt>
                <c:pt idx="10">
                  <c:v>45029</c:v>
                </c:pt>
                <c:pt idx="11">
                  <c:v>45030</c:v>
                </c:pt>
                <c:pt idx="12">
                  <c:v>45031</c:v>
                </c:pt>
                <c:pt idx="13">
                  <c:v>45032</c:v>
                </c:pt>
                <c:pt idx="14">
                  <c:v>45033</c:v>
                </c:pt>
                <c:pt idx="15">
                  <c:v>45034</c:v>
                </c:pt>
                <c:pt idx="16">
                  <c:v>45035</c:v>
                </c:pt>
                <c:pt idx="17">
                  <c:v>45036</c:v>
                </c:pt>
                <c:pt idx="18">
                  <c:v>45037</c:v>
                </c:pt>
                <c:pt idx="19">
                  <c:v>45038</c:v>
                </c:pt>
                <c:pt idx="20">
                  <c:v>45039</c:v>
                </c:pt>
                <c:pt idx="21">
                  <c:v>45040</c:v>
                </c:pt>
                <c:pt idx="22">
                  <c:v>45041</c:v>
                </c:pt>
                <c:pt idx="23">
                  <c:v>45042</c:v>
                </c:pt>
                <c:pt idx="24">
                  <c:v>45043</c:v>
                </c:pt>
                <c:pt idx="25">
                  <c:v>45044</c:v>
                </c:pt>
                <c:pt idx="26">
                  <c:v>45045</c:v>
                </c:pt>
                <c:pt idx="27">
                  <c:v>45046</c:v>
                </c:pt>
                <c:pt idx="28">
                  <c:v>45047</c:v>
                </c:pt>
                <c:pt idx="29">
                  <c:v>45048</c:v>
                </c:pt>
                <c:pt idx="30">
                  <c:v>45049</c:v>
                </c:pt>
                <c:pt idx="31">
                  <c:v>45050</c:v>
                </c:pt>
                <c:pt idx="32">
                  <c:v>45051</c:v>
                </c:pt>
                <c:pt idx="33">
                  <c:v>45052</c:v>
                </c:pt>
                <c:pt idx="34">
                  <c:v>45053</c:v>
                </c:pt>
                <c:pt idx="35">
                  <c:v>45054</c:v>
                </c:pt>
                <c:pt idx="36">
                  <c:v>45055</c:v>
                </c:pt>
                <c:pt idx="37">
                  <c:v>45056</c:v>
                </c:pt>
                <c:pt idx="38">
                  <c:v>45057</c:v>
                </c:pt>
                <c:pt idx="39">
                  <c:v>45058</c:v>
                </c:pt>
                <c:pt idx="40">
                  <c:v>45059</c:v>
                </c:pt>
                <c:pt idx="41">
                  <c:v>45060</c:v>
                </c:pt>
                <c:pt idx="42">
                  <c:v>45061</c:v>
                </c:pt>
                <c:pt idx="43">
                  <c:v>45062</c:v>
                </c:pt>
                <c:pt idx="44">
                  <c:v>45063</c:v>
                </c:pt>
                <c:pt idx="45">
                  <c:v>45064</c:v>
                </c:pt>
                <c:pt idx="46">
                  <c:v>45065</c:v>
                </c:pt>
                <c:pt idx="47">
                  <c:v>45066</c:v>
                </c:pt>
                <c:pt idx="48">
                  <c:v>45067</c:v>
                </c:pt>
                <c:pt idx="49">
                  <c:v>45068</c:v>
                </c:pt>
                <c:pt idx="50">
                  <c:v>45069</c:v>
                </c:pt>
                <c:pt idx="51">
                  <c:v>45070</c:v>
                </c:pt>
                <c:pt idx="52">
                  <c:v>45071</c:v>
                </c:pt>
                <c:pt idx="53">
                  <c:v>45072</c:v>
                </c:pt>
                <c:pt idx="54">
                  <c:v>45073</c:v>
                </c:pt>
                <c:pt idx="55">
                  <c:v>45074</c:v>
                </c:pt>
                <c:pt idx="56">
                  <c:v>45075</c:v>
                </c:pt>
                <c:pt idx="57">
                  <c:v>45076</c:v>
                </c:pt>
                <c:pt idx="58">
                  <c:v>45077</c:v>
                </c:pt>
              </c:numCache>
            </c:numRef>
          </c:cat>
          <c:val>
            <c:numRef>
              <c:f>Graphs!$C$3:$BI$3</c:f>
              <c:numCache>
                <c:formatCode>_(* #,##0.00_);_(* \(#,##0.00\);_(* "-"??_);_(@_)</c:formatCode>
                <c:ptCount val="59"/>
                <c:pt idx="0">
                  <c:v>42.5</c:v>
                </c:pt>
                <c:pt idx="1">
                  <c:v>85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119</c:v>
                </c:pt>
                <c:pt idx="6">
                  <c:v>85</c:v>
                </c:pt>
                <c:pt idx="7">
                  <c:v>42.5</c:v>
                </c:pt>
                <c:pt idx="8">
                  <c:v>85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119</c:v>
                </c:pt>
                <c:pt idx="13">
                  <c:v>85</c:v>
                </c:pt>
                <c:pt idx="14">
                  <c:v>42.5</c:v>
                </c:pt>
                <c:pt idx="15">
                  <c:v>85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119</c:v>
                </c:pt>
                <c:pt idx="20">
                  <c:v>85</c:v>
                </c:pt>
                <c:pt idx="21">
                  <c:v>42.5</c:v>
                </c:pt>
                <c:pt idx="22">
                  <c:v>85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119</c:v>
                </c:pt>
                <c:pt idx="27">
                  <c:v>85</c:v>
                </c:pt>
                <c:pt idx="28">
                  <c:v>42.5</c:v>
                </c:pt>
                <c:pt idx="29">
                  <c:v>85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119</c:v>
                </c:pt>
                <c:pt idx="34">
                  <c:v>85</c:v>
                </c:pt>
                <c:pt idx="35">
                  <c:v>42.5</c:v>
                </c:pt>
                <c:pt idx="36">
                  <c:v>85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119</c:v>
                </c:pt>
                <c:pt idx="41">
                  <c:v>85</c:v>
                </c:pt>
                <c:pt idx="42">
                  <c:v>42.5</c:v>
                </c:pt>
                <c:pt idx="43">
                  <c:v>85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119</c:v>
                </c:pt>
                <c:pt idx="48">
                  <c:v>85</c:v>
                </c:pt>
                <c:pt idx="49">
                  <c:v>42.5</c:v>
                </c:pt>
                <c:pt idx="50">
                  <c:v>85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119</c:v>
                </c:pt>
                <c:pt idx="55">
                  <c:v>85</c:v>
                </c:pt>
                <c:pt idx="56">
                  <c:v>42.5</c:v>
                </c:pt>
                <c:pt idx="57">
                  <c:v>85</c:v>
                </c:pt>
                <c:pt idx="58">
                  <c:v>127.5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B-41D4-B0EC-25B6690D2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915632"/>
        <c:axId val="987539008"/>
      </c:lineChart>
      <c:dateAx>
        <c:axId val="194891563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539008"/>
        <c:crosses val="autoZero"/>
        <c:auto val="1"/>
        <c:lblOffset val="100"/>
        <c:baseTimeUnit val="days"/>
      </c:dateAx>
      <c:valAx>
        <c:axId val="98753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91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Graphs!$B$27</c:f>
              <c:strCache>
                <c:ptCount val="1"/>
                <c:pt idx="0">
                  <c:v>Coffe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Graphs!$C$26:$X$26</c:f>
              <c:numCache>
                <c:formatCode>mmm\-yy</c:formatCode>
                <c:ptCount val="22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  <c:pt idx="12">
                  <c:v>45352</c:v>
                </c:pt>
                <c:pt idx="13">
                  <c:v>45383</c:v>
                </c:pt>
                <c:pt idx="14">
                  <c:v>45413</c:v>
                </c:pt>
                <c:pt idx="15">
                  <c:v>45444</c:v>
                </c:pt>
                <c:pt idx="16">
                  <c:v>45474</c:v>
                </c:pt>
                <c:pt idx="17">
                  <c:v>45505</c:v>
                </c:pt>
                <c:pt idx="18">
                  <c:v>45536</c:v>
                </c:pt>
                <c:pt idx="19">
                  <c:v>45566</c:v>
                </c:pt>
                <c:pt idx="20">
                  <c:v>45597</c:v>
                </c:pt>
                <c:pt idx="21">
                  <c:v>45627</c:v>
                </c:pt>
              </c:numCache>
            </c:numRef>
          </c:cat>
          <c:val>
            <c:numRef>
              <c:f>Graphs!$C$27:$X$27</c:f>
              <c:numCache>
                <c:formatCode>_(* #,##0.00_);_(* \(#,##0.00\);_(* "-"??_);_(@_)</c:formatCode>
                <c:ptCount val="22"/>
                <c:pt idx="0" formatCode="General">
                  <c:v>0</c:v>
                </c:pt>
                <c:pt idx="1">
                  <c:v>53743.35633333333</c:v>
                </c:pt>
                <c:pt idx="2">
                  <c:v>59316.547166666664</c:v>
                </c:pt>
                <c:pt idx="3">
                  <c:v>59119.803833333332</c:v>
                </c:pt>
                <c:pt idx="4">
                  <c:v>58773.357083333336</c:v>
                </c:pt>
                <c:pt idx="5">
                  <c:v>60813.581333333328</c:v>
                </c:pt>
                <c:pt idx="6">
                  <c:v>58773.357083333329</c:v>
                </c:pt>
                <c:pt idx="7">
                  <c:v>58371.286749999992</c:v>
                </c:pt>
                <c:pt idx="8">
                  <c:v>59119.803833333332</c:v>
                </c:pt>
                <c:pt idx="9">
                  <c:v>60270.391249999993</c:v>
                </c:pt>
                <c:pt idx="10">
                  <c:v>59316.547166666664</c:v>
                </c:pt>
                <c:pt idx="11">
                  <c:v>56677.509249999996</c:v>
                </c:pt>
                <c:pt idx="12">
                  <c:v>60270.391249999993</c:v>
                </c:pt>
                <c:pt idx="13">
                  <c:v>56874.252583333327</c:v>
                </c:pt>
                <c:pt idx="14">
                  <c:v>61562.098416666668</c:v>
                </c:pt>
                <c:pt idx="15">
                  <c:v>57828.096666666672</c:v>
                </c:pt>
                <c:pt idx="16">
                  <c:v>59316.547166666664</c:v>
                </c:pt>
                <c:pt idx="17">
                  <c:v>61215.651666666665</c:v>
                </c:pt>
                <c:pt idx="18">
                  <c:v>56677.509249999996</c:v>
                </c:pt>
                <c:pt idx="19">
                  <c:v>60813.581333333328</c:v>
                </c:pt>
                <c:pt idx="20">
                  <c:v>58773.357083333329</c:v>
                </c:pt>
                <c:pt idx="21">
                  <c:v>58371.286749999992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A-4E29-AE49-3321407ED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370464"/>
        <c:axId val="601325920"/>
      </c:lineChart>
      <c:lineChart>
        <c:grouping val="standard"/>
        <c:varyColors val="0"/>
        <c:ser>
          <c:idx val="1"/>
          <c:order val="1"/>
          <c:tx>
            <c:strRef>
              <c:f>Graphs!$B$28</c:f>
              <c:strCache>
                <c:ptCount val="1"/>
                <c:pt idx="0">
                  <c:v>Food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Graphs!$C$26:$X$26</c:f>
              <c:numCache>
                <c:formatCode>mmm\-yy</c:formatCode>
                <c:ptCount val="22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  <c:pt idx="12">
                  <c:v>45352</c:v>
                </c:pt>
                <c:pt idx="13">
                  <c:v>45383</c:v>
                </c:pt>
                <c:pt idx="14">
                  <c:v>45413</c:v>
                </c:pt>
                <c:pt idx="15">
                  <c:v>45444</c:v>
                </c:pt>
                <c:pt idx="16">
                  <c:v>45474</c:v>
                </c:pt>
                <c:pt idx="17">
                  <c:v>45505</c:v>
                </c:pt>
                <c:pt idx="18">
                  <c:v>45536</c:v>
                </c:pt>
                <c:pt idx="19">
                  <c:v>45566</c:v>
                </c:pt>
                <c:pt idx="20">
                  <c:v>45597</c:v>
                </c:pt>
                <c:pt idx="21">
                  <c:v>45627</c:v>
                </c:pt>
              </c:numCache>
            </c:numRef>
          </c:cat>
          <c:val>
            <c:numRef>
              <c:f>Graphs!$C$28:$X$28</c:f>
              <c:numCache>
                <c:formatCode>_(* #,##0.00_);_(* \(#,##0.00\);_(* "-"??_);_(@_)</c:formatCode>
                <c:ptCount val="22"/>
                <c:pt idx="0" formatCode="General">
                  <c:v>0</c:v>
                </c:pt>
                <c:pt idx="1">
                  <c:v>1800</c:v>
                </c:pt>
                <c:pt idx="2">
                  <c:v>2700</c:v>
                </c:pt>
                <c:pt idx="3">
                  <c:v>4725</c:v>
                </c:pt>
                <c:pt idx="4">
                  <c:v>4725</c:v>
                </c:pt>
                <c:pt idx="5">
                  <c:v>4725</c:v>
                </c:pt>
                <c:pt idx="6">
                  <c:v>4725</c:v>
                </c:pt>
                <c:pt idx="7">
                  <c:v>4725</c:v>
                </c:pt>
                <c:pt idx="8">
                  <c:v>4725</c:v>
                </c:pt>
                <c:pt idx="9">
                  <c:v>4725</c:v>
                </c:pt>
                <c:pt idx="10">
                  <c:v>4725</c:v>
                </c:pt>
                <c:pt idx="11">
                  <c:v>4725</c:v>
                </c:pt>
                <c:pt idx="12">
                  <c:v>4725</c:v>
                </c:pt>
                <c:pt idx="13">
                  <c:v>4725</c:v>
                </c:pt>
                <c:pt idx="14">
                  <c:v>4725</c:v>
                </c:pt>
                <c:pt idx="15">
                  <c:v>4725</c:v>
                </c:pt>
                <c:pt idx="16">
                  <c:v>4725</c:v>
                </c:pt>
                <c:pt idx="17">
                  <c:v>4725</c:v>
                </c:pt>
                <c:pt idx="18">
                  <c:v>4725</c:v>
                </c:pt>
                <c:pt idx="19">
                  <c:v>4725</c:v>
                </c:pt>
                <c:pt idx="20">
                  <c:v>4725</c:v>
                </c:pt>
                <c:pt idx="21">
                  <c:v>4725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A-4E29-AE49-3321407ED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654416"/>
        <c:axId val="443987952"/>
      </c:lineChart>
      <c:dateAx>
        <c:axId val="1955370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325920"/>
        <c:crosses val="autoZero"/>
        <c:auto val="1"/>
        <c:lblOffset val="100"/>
        <c:baseTimeUnit val="months"/>
      </c:dateAx>
      <c:valAx>
        <c:axId val="6013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370464"/>
        <c:crosses val="autoZero"/>
        <c:crossBetween val="between"/>
      </c:valAx>
      <c:valAx>
        <c:axId val="4439879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54416"/>
        <c:crosses val="max"/>
        <c:crossBetween val="between"/>
      </c:valAx>
      <c:dateAx>
        <c:axId val="40565441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4398795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Graphs!$B$52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Graphs!$C$51:$X$51</c:f>
              <c:numCache>
                <c:formatCode>mmm\-yy</c:formatCode>
                <c:ptCount val="22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  <c:pt idx="12">
                  <c:v>45352</c:v>
                </c:pt>
                <c:pt idx="13">
                  <c:v>45383</c:v>
                </c:pt>
                <c:pt idx="14">
                  <c:v>45413</c:v>
                </c:pt>
                <c:pt idx="15">
                  <c:v>45444</c:v>
                </c:pt>
                <c:pt idx="16">
                  <c:v>45474</c:v>
                </c:pt>
                <c:pt idx="17">
                  <c:v>45505</c:v>
                </c:pt>
                <c:pt idx="18">
                  <c:v>45536</c:v>
                </c:pt>
                <c:pt idx="19">
                  <c:v>45566</c:v>
                </c:pt>
                <c:pt idx="20">
                  <c:v>45597</c:v>
                </c:pt>
                <c:pt idx="21">
                  <c:v>45627</c:v>
                </c:pt>
              </c:numCache>
            </c:numRef>
          </c:cat>
          <c:val>
            <c:numRef>
              <c:f>Graphs!$C$52:$X$52</c:f>
              <c:numCache>
                <c:formatCode>_(* #,##0.00_);_(* \(#,##0.00\);_(* "-"??_);_(@_)</c:formatCode>
                <c:ptCount val="22"/>
                <c:pt idx="0">
                  <c:v>-151224.88</c:v>
                </c:pt>
                <c:pt idx="1">
                  <c:v>15359.047969724996</c:v>
                </c:pt>
                <c:pt idx="2">
                  <c:v>21612.635804037498</c:v>
                </c:pt>
                <c:pt idx="3">
                  <c:v>23378.868863287498</c:v>
                </c:pt>
                <c:pt idx="4">
                  <c:v>23044.175319281254</c:v>
                </c:pt>
                <c:pt idx="5">
                  <c:v>25015.184961600004</c:v>
                </c:pt>
                <c:pt idx="6">
                  <c:v>23044.175319281247</c:v>
                </c:pt>
                <c:pt idx="7">
                  <c:v>22655.745222006241</c:v>
                </c:pt>
                <c:pt idx="8">
                  <c:v>23378.868863287498</c:v>
                </c:pt>
                <c:pt idx="9">
                  <c:v>24490.422601843744</c:v>
                </c:pt>
                <c:pt idx="10">
                  <c:v>23568.937679037495</c:v>
                </c:pt>
                <c:pt idx="11">
                  <c:v>21019.429123693746</c:v>
                </c:pt>
                <c:pt idx="12">
                  <c:v>24490.422601843744</c:v>
                </c:pt>
                <c:pt idx="13">
                  <c:v>21209.497939443743</c:v>
                </c:pt>
                <c:pt idx="14">
                  <c:v>25738.308602881258</c:v>
                </c:pt>
                <c:pt idx="15">
                  <c:v>22130.982862250006</c:v>
                </c:pt>
                <c:pt idx="16">
                  <c:v>23568.937679037495</c:v>
                </c:pt>
                <c:pt idx="17">
                  <c:v>25403.615058875006</c:v>
                </c:pt>
                <c:pt idx="18">
                  <c:v>21019.429123693746</c:v>
                </c:pt>
                <c:pt idx="19">
                  <c:v>25015.184961600004</c:v>
                </c:pt>
                <c:pt idx="20">
                  <c:v>23044.175319281247</c:v>
                </c:pt>
                <c:pt idx="21">
                  <c:v>22655.745222006241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6-4C42-AA6C-8C9D0509C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472368"/>
        <c:axId val="1951969920"/>
      </c:lineChart>
      <c:dateAx>
        <c:axId val="10114723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69920"/>
        <c:crosses val="autoZero"/>
        <c:auto val="1"/>
        <c:lblOffset val="100"/>
        <c:baseTimeUnit val="months"/>
      </c:dateAx>
      <c:valAx>
        <c:axId val="195196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47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14</xdr:col>
      <xdr:colOff>99060</xdr:colOff>
      <xdr:row>22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C386FA-6BBF-438C-9D1B-0252B988F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29</xdr:row>
      <xdr:rowOff>0</xdr:rowOff>
    </xdr:from>
    <xdr:to>
      <xdr:col>11</xdr:col>
      <xdr:colOff>502920</xdr:colOff>
      <xdr:row>47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F419E-439A-48B7-A415-EA12ED90D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76200</xdr:colOff>
      <xdr:row>53</xdr:row>
      <xdr:rowOff>64770</xdr:rowOff>
    </xdr:from>
    <xdr:to>
      <xdr:col>12</xdr:col>
      <xdr:colOff>38100</xdr:colOff>
      <xdr:row>72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1A2A29-2F66-E91F-7FEF-21559049F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670560</xdr:colOff>
      <xdr:row>28</xdr:row>
      <xdr:rowOff>129540</xdr:rowOff>
    </xdr:from>
    <xdr:to>
      <xdr:col>23</xdr:col>
      <xdr:colOff>213981</xdr:colOff>
      <xdr:row>47</xdr:row>
      <xdr:rowOff>160324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B9B613-28D7-55D5-3AA7-2AE61AA4E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13520" y="5250180"/>
          <a:ext cx="7171041" cy="3505504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53</xdr:row>
      <xdr:rowOff>99060</xdr:rowOff>
    </xdr:from>
    <xdr:to>
      <xdr:col>23</xdr:col>
      <xdr:colOff>99659</xdr:colOff>
      <xdr:row>72</xdr:row>
      <xdr:rowOff>53637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96FF11-1053-5F61-FAF9-FFFA6418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58300" y="9791700"/>
          <a:ext cx="6911939" cy="34292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9"/>
  <sheetViews>
    <sheetView topLeftCell="A30" workbookViewId="0">
      <selection activeCell="E42" sqref="E42"/>
    </sheetView>
  </sheetViews>
  <sheetFormatPr defaultRowHeight="14.4" x14ac:dyDescent="0.3"/>
  <cols>
    <col min="1" max="1" width="9.33203125" customWidth="1"/>
    <col min="2" max="2" width="22.21875" style="2" customWidth="1"/>
    <col min="3" max="24" width="13.109375" customWidth="1"/>
  </cols>
  <sheetData>
    <row r="2" spans="2:3" x14ac:dyDescent="0.3">
      <c r="B2" s="1" t="s">
        <v>2</v>
      </c>
    </row>
    <row r="3" spans="2:3" x14ac:dyDescent="0.3">
      <c r="B3" s="8" t="s">
        <v>102</v>
      </c>
      <c r="C3" s="9">
        <v>280000</v>
      </c>
    </row>
    <row r="5" spans="2:3" x14ac:dyDescent="0.3">
      <c r="B5" s="1" t="s">
        <v>66</v>
      </c>
    </row>
    <row r="6" spans="2:3" x14ac:dyDescent="0.3">
      <c r="B6" s="8" t="s">
        <v>0</v>
      </c>
      <c r="C6" s="9">
        <v>0</v>
      </c>
    </row>
    <row r="7" spans="2:3" x14ac:dyDescent="0.3">
      <c r="B7" s="8" t="s">
        <v>1</v>
      </c>
      <c r="C7" s="9">
        <v>55000</v>
      </c>
    </row>
    <row r="8" spans="2:3" x14ac:dyDescent="0.3">
      <c r="B8" s="8" t="s">
        <v>3</v>
      </c>
      <c r="C8" s="9">
        <v>4200</v>
      </c>
    </row>
    <row r="9" spans="2:3" x14ac:dyDescent="0.3">
      <c r="B9" s="8" t="s">
        <v>4</v>
      </c>
      <c r="C9" s="9">
        <v>3300</v>
      </c>
    </row>
    <row r="10" spans="2:3" x14ac:dyDescent="0.3">
      <c r="B10" s="8" t="s">
        <v>5</v>
      </c>
      <c r="C10" s="9">
        <v>13340</v>
      </c>
    </row>
    <row r="11" spans="2:3" x14ac:dyDescent="0.3">
      <c r="B11" s="8" t="s">
        <v>6</v>
      </c>
      <c r="C11" s="9">
        <v>10000</v>
      </c>
    </row>
    <row r="12" spans="2:3" x14ac:dyDescent="0.3">
      <c r="B12" s="8" t="s">
        <v>7</v>
      </c>
      <c r="C12" s="9">
        <v>1000</v>
      </c>
    </row>
    <row r="13" spans="2:3" x14ac:dyDescent="0.3">
      <c r="B13" s="8" t="s">
        <v>8</v>
      </c>
      <c r="C13" s="9">
        <v>23989</v>
      </c>
    </row>
    <row r="14" spans="2:3" x14ac:dyDescent="0.3">
      <c r="B14" s="8" t="s">
        <v>9</v>
      </c>
      <c r="C14" s="9">
        <v>637</v>
      </c>
    </row>
    <row r="15" spans="2:3" x14ac:dyDescent="0.3">
      <c r="B15" s="8" t="s">
        <v>10</v>
      </c>
      <c r="C15" s="9">
        <v>431.88</v>
      </c>
    </row>
    <row r="16" spans="2:3" x14ac:dyDescent="0.3">
      <c r="B16" s="8" t="s">
        <v>11</v>
      </c>
      <c r="C16" s="9">
        <f>958+1258</f>
        <v>2216</v>
      </c>
    </row>
    <row r="17" spans="2:3" x14ac:dyDescent="0.3">
      <c r="B17" s="8" t="s">
        <v>12</v>
      </c>
      <c r="C17" s="9">
        <v>3050</v>
      </c>
    </row>
    <row r="18" spans="2:3" x14ac:dyDescent="0.3">
      <c r="B18" s="8" t="s">
        <v>13</v>
      </c>
      <c r="C18" s="9">
        <v>3185</v>
      </c>
    </row>
    <row r="19" spans="2:3" x14ac:dyDescent="0.3">
      <c r="B19" s="8" t="s">
        <v>14</v>
      </c>
      <c r="C19" s="9">
        <v>303</v>
      </c>
    </row>
    <row r="20" spans="2:3" x14ac:dyDescent="0.3">
      <c r="B20" s="8" t="s">
        <v>18</v>
      </c>
      <c r="C20" s="9">
        <v>7277</v>
      </c>
    </row>
    <row r="21" spans="2:3" x14ac:dyDescent="0.3">
      <c r="B21" s="8" t="s">
        <v>19</v>
      </c>
      <c r="C21" s="9">
        <v>2467</v>
      </c>
    </row>
    <row r="22" spans="2:3" x14ac:dyDescent="0.3">
      <c r="B22" s="8" t="s">
        <v>20</v>
      </c>
      <c r="C22" s="9">
        <v>700</v>
      </c>
    </row>
    <row r="23" spans="2:3" x14ac:dyDescent="0.3">
      <c r="B23" s="8" t="s">
        <v>22</v>
      </c>
      <c r="C23" s="9">
        <v>5000</v>
      </c>
    </row>
    <row r="24" spans="2:3" x14ac:dyDescent="0.3">
      <c r="B24" s="8" t="s">
        <v>41</v>
      </c>
      <c r="C24" s="9">
        <v>2500</v>
      </c>
    </row>
    <row r="25" spans="2:3" x14ac:dyDescent="0.3">
      <c r="B25" s="8" t="s">
        <v>25</v>
      </c>
      <c r="C25" s="9">
        <v>8430</v>
      </c>
    </row>
    <row r="26" spans="2:3" x14ac:dyDescent="0.3">
      <c r="B26" s="8" t="s">
        <v>33</v>
      </c>
      <c r="C26" s="9">
        <v>6188</v>
      </c>
    </row>
    <row r="27" spans="2:3" x14ac:dyDescent="0.3">
      <c r="B27" s="8" t="s">
        <v>28</v>
      </c>
      <c r="C27" s="9">
        <v>1800</v>
      </c>
    </row>
    <row r="28" spans="2:3" x14ac:dyDescent="0.3">
      <c r="B28" s="8" t="s">
        <v>44</v>
      </c>
      <c r="C28" s="9">
        <f>600*8</f>
        <v>4800</v>
      </c>
    </row>
    <row r="29" spans="2:3" x14ac:dyDescent="0.3">
      <c r="B29" s="8" t="s">
        <v>43</v>
      </c>
      <c r="C29" s="9">
        <f>1700*4</f>
        <v>6800</v>
      </c>
    </row>
    <row r="30" spans="2:3" x14ac:dyDescent="0.3">
      <c r="B30" s="8" t="s">
        <v>45</v>
      </c>
      <c r="C30" s="9">
        <f>1800*2</f>
        <v>3600</v>
      </c>
    </row>
    <row r="31" spans="2:3" x14ac:dyDescent="0.3">
      <c r="B31" s="8" t="s">
        <v>42</v>
      </c>
      <c r="C31" s="9">
        <v>5000</v>
      </c>
    </row>
    <row r="32" spans="2:3" ht="15" thickBot="1" x14ac:dyDescent="0.35">
      <c r="B32" t="s">
        <v>32</v>
      </c>
      <c r="C32" s="18">
        <f>SUM(C7:C31)</f>
        <v>175213.88</v>
      </c>
    </row>
    <row r="33" spans="2:5" ht="15" thickTop="1" x14ac:dyDescent="0.3"/>
    <row r="34" spans="2:5" x14ac:dyDescent="0.3">
      <c r="B34" s="1" t="s">
        <v>67</v>
      </c>
    </row>
    <row r="35" spans="2:5" x14ac:dyDescent="0.3">
      <c r="B35" s="8" t="s">
        <v>15</v>
      </c>
      <c r="C35" s="9">
        <v>3000</v>
      </c>
    </row>
    <row r="36" spans="2:5" x14ac:dyDescent="0.3">
      <c r="B36" s="8" t="s">
        <v>17</v>
      </c>
      <c r="C36" s="9">
        <v>20000</v>
      </c>
      <c r="E36">
        <f>800*2*4</f>
        <v>6400</v>
      </c>
    </row>
    <row r="37" spans="2:5" x14ac:dyDescent="0.3">
      <c r="B37" s="8" t="s">
        <v>29</v>
      </c>
      <c r="C37" s="9">
        <v>1500</v>
      </c>
    </row>
    <row r="38" spans="2:5" x14ac:dyDescent="0.3">
      <c r="B38" s="8" t="s">
        <v>50</v>
      </c>
      <c r="C38" s="9">
        <v>800</v>
      </c>
    </row>
    <row r="39" spans="2:5" x14ac:dyDescent="0.3">
      <c r="B39" s="8" t="s">
        <v>55</v>
      </c>
      <c r="C39" s="9">
        <v>2000</v>
      </c>
    </row>
    <row r="40" spans="2:5" x14ac:dyDescent="0.3">
      <c r="B40" s="8" t="s">
        <v>34</v>
      </c>
      <c r="C40" s="9">
        <v>1000</v>
      </c>
    </row>
    <row r="41" spans="2:5" x14ac:dyDescent="0.3">
      <c r="B41" s="8" t="s">
        <v>69</v>
      </c>
      <c r="C41" s="9">
        <v>0</v>
      </c>
    </row>
    <row r="42" spans="2:5" x14ac:dyDescent="0.3">
      <c r="B42" s="8" t="s">
        <v>31</v>
      </c>
      <c r="C42" s="9">
        <v>10000</v>
      </c>
    </row>
    <row r="43" spans="2:5" ht="15" thickBot="1" x14ac:dyDescent="0.35">
      <c r="B43" s="2" t="s">
        <v>32</v>
      </c>
      <c r="C43" s="19">
        <f>SUM(C35:C42)</f>
        <v>38300</v>
      </c>
    </row>
    <row r="44" spans="2:5" ht="15" thickTop="1" x14ac:dyDescent="0.3"/>
    <row r="45" spans="2:5" x14ac:dyDescent="0.3">
      <c r="B45" s="1" t="s">
        <v>68</v>
      </c>
      <c r="C45" s="5"/>
    </row>
    <row r="46" spans="2:5" x14ac:dyDescent="0.3">
      <c r="B46" s="8" t="s">
        <v>23</v>
      </c>
      <c r="C46" s="11">
        <f>2.95%*1.15</f>
        <v>3.3924999999999997E-2</v>
      </c>
    </row>
    <row r="47" spans="2:5" x14ac:dyDescent="0.3">
      <c r="B47" s="8" t="s">
        <v>58</v>
      </c>
      <c r="C47" s="11">
        <v>0.05</v>
      </c>
    </row>
    <row r="48" spans="2:5" x14ac:dyDescent="0.3">
      <c r="B48" s="5"/>
    </row>
    <row r="49" spans="2:5" x14ac:dyDescent="0.3">
      <c r="B49" s="1" t="s">
        <v>35</v>
      </c>
    </row>
    <row r="50" spans="2:5" x14ac:dyDescent="0.3">
      <c r="B50" s="8" t="s">
        <v>8</v>
      </c>
      <c r="C50" s="8"/>
    </row>
    <row r="51" spans="2:5" x14ac:dyDescent="0.3">
      <c r="B51" s="8" t="s">
        <v>34</v>
      </c>
      <c r="C51" s="10"/>
    </row>
    <row r="53" spans="2:5" x14ac:dyDescent="0.3">
      <c r="B53" s="1" t="s">
        <v>70</v>
      </c>
    </row>
    <row r="54" spans="2:5" x14ac:dyDescent="0.3">
      <c r="B54" s="9"/>
      <c r="C54" s="8" t="s">
        <v>54</v>
      </c>
      <c r="D54" s="8" t="s">
        <v>71</v>
      </c>
      <c r="E54" s="8" t="s">
        <v>72</v>
      </c>
    </row>
    <row r="55" spans="2:5" x14ac:dyDescent="0.3">
      <c r="B55" s="8" t="s">
        <v>36</v>
      </c>
      <c r="C55" s="9">
        <v>265</v>
      </c>
      <c r="D55" s="8">
        <v>1000</v>
      </c>
      <c r="E55" s="10">
        <f>C55/D55</f>
        <v>0.26500000000000001</v>
      </c>
    </row>
    <row r="56" spans="2:5" x14ac:dyDescent="0.3">
      <c r="B56" s="8" t="s">
        <v>38</v>
      </c>
      <c r="C56" s="9">
        <f>36*0.8</f>
        <v>28.8</v>
      </c>
      <c r="D56" s="8">
        <v>2000</v>
      </c>
      <c r="E56" s="10">
        <f>C56/D56</f>
        <v>1.44E-2</v>
      </c>
    </row>
    <row r="57" spans="2:5" x14ac:dyDescent="0.3">
      <c r="B57" s="8" t="s">
        <v>8</v>
      </c>
      <c r="C57" s="9">
        <f>C13 - 500</f>
        <v>23489</v>
      </c>
      <c r="D57" s="8">
        <v>6000</v>
      </c>
      <c r="E57" s="10">
        <f>C57/D57</f>
        <v>3.9148333333333332</v>
      </c>
    </row>
    <row r="58" spans="2:5" x14ac:dyDescent="0.3">
      <c r="B58" s="8" t="s">
        <v>46</v>
      </c>
      <c r="C58" s="9"/>
      <c r="D58" s="8"/>
      <c r="E58" s="10">
        <v>0.45</v>
      </c>
    </row>
    <row r="59" spans="2:5" x14ac:dyDescent="0.3">
      <c r="B59"/>
      <c r="C59" s="17"/>
      <c r="E59" s="4"/>
    </row>
    <row r="60" spans="2:5" x14ac:dyDescent="0.3">
      <c r="B60" s="8" t="s">
        <v>53</v>
      </c>
      <c r="C60" s="9">
        <v>32</v>
      </c>
      <c r="E60" s="4"/>
    </row>
    <row r="61" spans="2:5" x14ac:dyDescent="0.3">
      <c r="B61" s="8" t="s">
        <v>128</v>
      </c>
      <c r="C61" s="12">
        <v>0.25</v>
      </c>
      <c r="E61" s="4"/>
    </row>
    <row r="62" spans="2:5" x14ac:dyDescent="0.3">
      <c r="B62"/>
      <c r="C62" s="2"/>
      <c r="E62" s="4"/>
    </row>
    <row r="63" spans="2:5" x14ac:dyDescent="0.3">
      <c r="B63" s="1" t="s">
        <v>73</v>
      </c>
      <c r="C63" s="2"/>
      <c r="E63" s="4"/>
    </row>
    <row r="64" spans="2:5" x14ac:dyDescent="0.3">
      <c r="B64" s="8" t="s">
        <v>39</v>
      </c>
      <c r="C64" s="9">
        <v>20</v>
      </c>
      <c r="E64" s="4"/>
    </row>
    <row r="65" spans="2:5" x14ac:dyDescent="0.3">
      <c r="B65" s="8" t="s">
        <v>40</v>
      </c>
      <c r="C65" s="12">
        <v>0.9</v>
      </c>
      <c r="E65" s="4"/>
    </row>
    <row r="66" spans="2:5" x14ac:dyDescent="0.3">
      <c r="B66"/>
      <c r="C66" s="2"/>
      <c r="E66" s="4"/>
    </row>
    <row r="67" spans="2:5" x14ac:dyDescent="0.3">
      <c r="B67" s="32" t="s">
        <v>117</v>
      </c>
    </row>
    <row r="68" spans="2:5" x14ac:dyDescent="0.3">
      <c r="B68" s="9"/>
      <c r="C68" s="8" t="s">
        <v>54</v>
      </c>
      <c r="D68" s="8" t="s">
        <v>125</v>
      </c>
      <c r="E68" s="8" t="s">
        <v>72</v>
      </c>
    </row>
    <row r="69" spans="2:5" x14ac:dyDescent="0.3">
      <c r="B69" s="33" t="s">
        <v>118</v>
      </c>
      <c r="C69" s="8">
        <v>25</v>
      </c>
      <c r="D69" s="8">
        <v>8</v>
      </c>
      <c r="E69" s="13">
        <f t="shared" ref="E69:E75" si="0">C69/D69</f>
        <v>3.125</v>
      </c>
    </row>
    <row r="70" spans="2:5" x14ac:dyDescent="0.3">
      <c r="B70" s="9" t="s">
        <v>119</v>
      </c>
      <c r="C70" s="8">
        <v>60</v>
      </c>
      <c r="D70" s="8">
        <f>500/10</f>
        <v>50</v>
      </c>
      <c r="E70" s="13">
        <f t="shared" si="0"/>
        <v>1.2</v>
      </c>
    </row>
    <row r="71" spans="2:5" x14ac:dyDescent="0.3">
      <c r="B71" s="9" t="s">
        <v>120</v>
      </c>
      <c r="C71" s="8">
        <v>20</v>
      </c>
      <c r="D71" s="8">
        <v>3</v>
      </c>
      <c r="E71" s="13">
        <f t="shared" si="0"/>
        <v>6.666666666666667</v>
      </c>
    </row>
    <row r="72" spans="2:5" x14ac:dyDescent="0.3">
      <c r="B72" s="9" t="s">
        <v>121</v>
      </c>
      <c r="C72" s="8">
        <v>10</v>
      </c>
      <c r="D72" s="8">
        <v>10</v>
      </c>
      <c r="E72" s="13">
        <f t="shared" si="0"/>
        <v>1</v>
      </c>
    </row>
    <row r="73" spans="2:5" x14ac:dyDescent="0.3">
      <c r="B73" s="9" t="s">
        <v>122</v>
      </c>
      <c r="C73" s="8">
        <v>120</v>
      </c>
      <c r="D73" s="13">
        <f>1000/30</f>
        <v>33.333333333333336</v>
      </c>
      <c r="E73" s="13">
        <f t="shared" si="0"/>
        <v>3.5999999999999996</v>
      </c>
    </row>
    <row r="74" spans="2:5" x14ac:dyDescent="0.3">
      <c r="B74" s="9" t="s">
        <v>123</v>
      </c>
      <c r="C74" s="8">
        <v>50</v>
      </c>
      <c r="D74" s="8">
        <v>6</v>
      </c>
      <c r="E74" s="13">
        <f t="shared" si="0"/>
        <v>8.3333333333333339</v>
      </c>
    </row>
    <row r="75" spans="2:5" x14ac:dyDescent="0.3">
      <c r="B75" s="9" t="s">
        <v>124</v>
      </c>
      <c r="C75" s="8">
        <v>20</v>
      </c>
      <c r="D75" s="8">
        <v>3</v>
      </c>
      <c r="E75" s="13">
        <f t="shared" si="0"/>
        <v>6.666666666666667</v>
      </c>
    </row>
    <row r="76" spans="2:5" ht="15" thickBot="1" x14ac:dyDescent="0.35">
      <c r="B76" s="2" t="s">
        <v>32</v>
      </c>
      <c r="E76" s="22">
        <f>SUM(E69:E75)</f>
        <v>30.591666666666669</v>
      </c>
    </row>
    <row r="77" spans="2:5" ht="15" thickTop="1" x14ac:dyDescent="0.3"/>
    <row r="78" spans="2:5" x14ac:dyDescent="0.3">
      <c r="B78" s="9" t="s">
        <v>53</v>
      </c>
      <c r="C78" s="8">
        <v>60</v>
      </c>
    </row>
    <row r="79" spans="2:5" x14ac:dyDescent="0.3">
      <c r="B79" s="9" t="s">
        <v>40</v>
      </c>
      <c r="C79" s="12">
        <f>C78/E76 - 1</f>
        <v>0.96131844184145998</v>
      </c>
    </row>
  </sheetData>
  <pageMargins left="0.7" right="0.7" top="0.75" bottom="0.75" header="0.3" footer="0.3"/>
  <pageSetup orientation="portrait" horizontalDpi="204" verticalDpi="196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15F5-8B54-446F-AF3C-987857EE07BA}">
  <dimension ref="A1:XQ70"/>
  <sheetViews>
    <sheetView workbookViewId="0">
      <selection activeCell="E26" sqref="E26"/>
    </sheetView>
  </sheetViews>
  <sheetFormatPr defaultRowHeight="14.4" x14ac:dyDescent="0.3"/>
  <cols>
    <col min="1" max="1" width="10.6640625" customWidth="1"/>
    <col min="2" max="2" width="23.21875" customWidth="1"/>
    <col min="3" max="8" width="15.21875" customWidth="1"/>
    <col min="9" max="90" width="15.88671875" customWidth="1"/>
    <col min="91" max="274" width="14" customWidth="1"/>
    <col min="275" max="275" width="13.88671875" customWidth="1"/>
    <col min="276" max="579" width="13.44140625" customWidth="1"/>
    <col min="580" max="641" width="14.44140625" customWidth="1"/>
  </cols>
  <sheetData>
    <row r="1" spans="1:9" s="20" customFormat="1" x14ac:dyDescent="0.3">
      <c r="A1" s="21" t="s">
        <v>30</v>
      </c>
    </row>
    <row r="2" spans="1:9" x14ac:dyDescent="0.3">
      <c r="B2" s="1" t="s">
        <v>74</v>
      </c>
      <c r="C2" s="2"/>
    </row>
    <row r="3" spans="1:9" x14ac:dyDescent="0.3">
      <c r="B3" s="8" t="s">
        <v>37</v>
      </c>
      <c r="C3" s="30">
        <v>24</v>
      </c>
      <c r="D3" s="13">
        <f>C3*Inputs!E55</f>
        <v>6.36</v>
      </c>
      <c r="E3" s="4"/>
    </row>
    <row r="4" spans="1:9" x14ac:dyDescent="0.3">
      <c r="B4" s="8" t="s">
        <v>38</v>
      </c>
      <c r="C4" s="30">
        <v>270</v>
      </c>
      <c r="D4" s="13">
        <f>C4*Inputs!E56</f>
        <v>3.8879999999999999</v>
      </c>
      <c r="G4" t="s">
        <v>129</v>
      </c>
      <c r="I4" t="s">
        <v>130</v>
      </c>
    </row>
    <row r="5" spans="1:9" x14ac:dyDescent="0.3">
      <c r="B5" s="8" t="s">
        <v>8</v>
      </c>
      <c r="C5" s="30">
        <v>1</v>
      </c>
      <c r="D5" s="13">
        <f>C5*Inputs!E57</f>
        <v>3.9148333333333332</v>
      </c>
      <c r="I5" t="s">
        <v>131</v>
      </c>
    </row>
    <row r="6" spans="1:9" ht="15" thickBot="1" x14ac:dyDescent="0.35">
      <c r="B6" t="s">
        <v>32</v>
      </c>
      <c r="C6" s="2"/>
      <c r="D6" s="22">
        <f>SUM(D3:D5)</f>
        <v>14.162833333333335</v>
      </c>
      <c r="I6" t="s">
        <v>132</v>
      </c>
    </row>
    <row r="7" spans="1:9" ht="15" thickTop="1" x14ac:dyDescent="0.3">
      <c r="C7" s="2"/>
      <c r="D7" s="6"/>
      <c r="G7" t="s">
        <v>133</v>
      </c>
    </row>
    <row r="8" spans="1:9" x14ac:dyDescent="0.3">
      <c r="B8" s="8" t="s">
        <v>53</v>
      </c>
      <c r="C8" s="9">
        <f>Inputs!C60</f>
        <v>32</v>
      </c>
      <c r="D8" s="6"/>
      <c r="G8" t="s">
        <v>134</v>
      </c>
    </row>
    <row r="9" spans="1:9" x14ac:dyDescent="0.3">
      <c r="B9" s="8" t="s">
        <v>127</v>
      </c>
      <c r="C9" s="9">
        <f>C8*(1-Inputs!C61)</f>
        <v>24</v>
      </c>
      <c r="D9" s="6"/>
    </row>
    <row r="10" spans="1:9" x14ac:dyDescent="0.3">
      <c r="C10" s="2"/>
      <c r="D10" s="6"/>
      <c r="F10" s="4"/>
    </row>
    <row r="11" spans="1:9" x14ac:dyDescent="0.3">
      <c r="B11" s="1" t="s">
        <v>46</v>
      </c>
      <c r="D11" s="6"/>
    </row>
    <row r="12" spans="1:9" x14ac:dyDescent="0.3">
      <c r="B12" s="8" t="s">
        <v>103</v>
      </c>
      <c r="C12" s="9">
        <f>Inputs!E58</f>
        <v>0.45</v>
      </c>
      <c r="D12" s="6"/>
    </row>
    <row r="13" spans="1:9" x14ac:dyDescent="0.3">
      <c r="B13" s="8" t="s">
        <v>75</v>
      </c>
      <c r="C13" s="31">
        <v>0.5</v>
      </c>
      <c r="D13" s="6"/>
    </row>
    <row r="14" spans="1:9" x14ac:dyDescent="0.3">
      <c r="C14" s="23"/>
      <c r="D14" s="6"/>
    </row>
    <row r="15" spans="1:9" x14ac:dyDescent="0.3">
      <c r="B15" s="8" t="s">
        <v>100</v>
      </c>
      <c r="C15" s="8">
        <v>8.5</v>
      </c>
    </row>
    <row r="17" spans="2:641" x14ac:dyDescent="0.3">
      <c r="B17" s="1" t="s">
        <v>110</v>
      </c>
    </row>
    <row r="18" spans="2:641" x14ac:dyDescent="0.3">
      <c r="B18" t="s">
        <v>21</v>
      </c>
      <c r="C18" s="15">
        <f>EOMONTH(C20,0)</f>
        <v>45046</v>
      </c>
      <c r="D18" s="15">
        <f>EOMONTH(D20,0)</f>
        <v>45046</v>
      </c>
      <c r="E18" s="15">
        <f t="shared" ref="E18:BP18" si="0">EOMONTH(E20,0)</f>
        <v>45046</v>
      </c>
      <c r="F18" s="15">
        <f t="shared" si="0"/>
        <v>45046</v>
      </c>
      <c r="G18" s="15">
        <f t="shared" si="0"/>
        <v>45046</v>
      </c>
      <c r="H18" s="15">
        <f t="shared" si="0"/>
        <v>45046</v>
      </c>
      <c r="I18" s="15">
        <f t="shared" si="0"/>
        <v>45046</v>
      </c>
      <c r="J18" s="15">
        <f t="shared" si="0"/>
        <v>45046</v>
      </c>
      <c r="K18" s="15">
        <f t="shared" si="0"/>
        <v>45046</v>
      </c>
      <c r="L18" s="15">
        <f t="shared" si="0"/>
        <v>45046</v>
      </c>
      <c r="M18" s="15">
        <f t="shared" si="0"/>
        <v>45046</v>
      </c>
      <c r="N18" s="15">
        <f t="shared" si="0"/>
        <v>45046</v>
      </c>
      <c r="O18" s="15">
        <f t="shared" si="0"/>
        <v>45046</v>
      </c>
      <c r="P18" s="15">
        <f t="shared" si="0"/>
        <v>45046</v>
      </c>
      <c r="Q18" s="15">
        <f t="shared" si="0"/>
        <v>45046</v>
      </c>
      <c r="R18" s="15">
        <f t="shared" si="0"/>
        <v>45046</v>
      </c>
      <c r="S18" s="15">
        <f t="shared" si="0"/>
        <v>45046</v>
      </c>
      <c r="T18" s="15">
        <f t="shared" si="0"/>
        <v>45046</v>
      </c>
      <c r="U18" s="15">
        <f t="shared" si="0"/>
        <v>45046</v>
      </c>
      <c r="V18" s="15">
        <f t="shared" si="0"/>
        <v>45046</v>
      </c>
      <c r="W18" s="15">
        <f t="shared" si="0"/>
        <v>45046</v>
      </c>
      <c r="X18" s="15">
        <f t="shared" si="0"/>
        <v>45046</v>
      </c>
      <c r="Y18" s="15">
        <f t="shared" si="0"/>
        <v>45046</v>
      </c>
      <c r="Z18" s="15">
        <f t="shared" si="0"/>
        <v>45046</v>
      </c>
      <c r="AA18" s="15">
        <f t="shared" si="0"/>
        <v>45046</v>
      </c>
      <c r="AB18" s="15">
        <f t="shared" si="0"/>
        <v>45046</v>
      </c>
      <c r="AC18" s="15">
        <f t="shared" si="0"/>
        <v>45046</v>
      </c>
      <c r="AD18" s="15">
        <f t="shared" si="0"/>
        <v>45046</v>
      </c>
      <c r="AE18" s="15">
        <f t="shared" si="0"/>
        <v>45077</v>
      </c>
      <c r="AF18" s="15">
        <f t="shared" si="0"/>
        <v>45077</v>
      </c>
      <c r="AG18" s="15">
        <f t="shared" si="0"/>
        <v>45077</v>
      </c>
      <c r="AH18" s="15">
        <f t="shared" si="0"/>
        <v>45077</v>
      </c>
      <c r="AI18" s="15">
        <f t="shared" si="0"/>
        <v>45077</v>
      </c>
      <c r="AJ18" s="15">
        <f t="shared" si="0"/>
        <v>45077</v>
      </c>
      <c r="AK18" s="15">
        <f t="shared" si="0"/>
        <v>45077</v>
      </c>
      <c r="AL18" s="15">
        <f t="shared" si="0"/>
        <v>45077</v>
      </c>
      <c r="AM18" s="15">
        <f t="shared" si="0"/>
        <v>45077</v>
      </c>
      <c r="AN18" s="15">
        <f t="shared" si="0"/>
        <v>45077</v>
      </c>
      <c r="AO18" s="15">
        <f t="shared" si="0"/>
        <v>45077</v>
      </c>
      <c r="AP18" s="15">
        <f t="shared" si="0"/>
        <v>45077</v>
      </c>
      <c r="AQ18" s="15">
        <f t="shared" si="0"/>
        <v>45077</v>
      </c>
      <c r="AR18" s="15">
        <f t="shared" si="0"/>
        <v>45077</v>
      </c>
      <c r="AS18" s="15">
        <f t="shared" si="0"/>
        <v>45077</v>
      </c>
      <c r="AT18" s="15">
        <f t="shared" si="0"/>
        <v>45077</v>
      </c>
      <c r="AU18" s="15">
        <f t="shared" si="0"/>
        <v>45077</v>
      </c>
      <c r="AV18" s="15">
        <f t="shared" si="0"/>
        <v>45077</v>
      </c>
      <c r="AW18" s="15">
        <f t="shared" si="0"/>
        <v>45077</v>
      </c>
      <c r="AX18" s="15">
        <f t="shared" si="0"/>
        <v>45077</v>
      </c>
      <c r="AY18" s="15">
        <f t="shared" si="0"/>
        <v>45077</v>
      </c>
      <c r="AZ18" s="15">
        <f t="shared" si="0"/>
        <v>45077</v>
      </c>
      <c r="BA18" s="15">
        <f t="shared" si="0"/>
        <v>45077</v>
      </c>
      <c r="BB18" s="15">
        <f t="shared" si="0"/>
        <v>45077</v>
      </c>
      <c r="BC18" s="15">
        <f t="shared" si="0"/>
        <v>45077</v>
      </c>
      <c r="BD18" s="15">
        <f t="shared" si="0"/>
        <v>45077</v>
      </c>
      <c r="BE18" s="15">
        <f t="shared" si="0"/>
        <v>45077</v>
      </c>
      <c r="BF18" s="15">
        <f t="shared" si="0"/>
        <v>45077</v>
      </c>
      <c r="BG18" s="15">
        <f t="shared" si="0"/>
        <v>45077</v>
      </c>
      <c r="BH18" s="15">
        <f t="shared" si="0"/>
        <v>45077</v>
      </c>
      <c r="BI18" s="15">
        <f t="shared" si="0"/>
        <v>45077</v>
      </c>
      <c r="BJ18" s="15">
        <f t="shared" si="0"/>
        <v>45107</v>
      </c>
      <c r="BK18" s="15">
        <f t="shared" si="0"/>
        <v>45107</v>
      </c>
      <c r="BL18" s="15">
        <f t="shared" si="0"/>
        <v>45107</v>
      </c>
      <c r="BM18" s="15">
        <f t="shared" si="0"/>
        <v>45107</v>
      </c>
      <c r="BN18" s="15">
        <f t="shared" si="0"/>
        <v>45107</v>
      </c>
      <c r="BO18" s="15">
        <f t="shared" si="0"/>
        <v>45107</v>
      </c>
      <c r="BP18" s="15">
        <f t="shared" si="0"/>
        <v>45107</v>
      </c>
      <c r="BQ18" s="15">
        <f t="shared" ref="BQ18:EB18" si="1">EOMONTH(BQ20,0)</f>
        <v>45107</v>
      </c>
      <c r="BR18" s="15">
        <f t="shared" si="1"/>
        <v>45107</v>
      </c>
      <c r="BS18" s="15">
        <f t="shared" si="1"/>
        <v>45107</v>
      </c>
      <c r="BT18" s="15">
        <f t="shared" si="1"/>
        <v>45107</v>
      </c>
      <c r="BU18" s="15">
        <f t="shared" si="1"/>
        <v>45107</v>
      </c>
      <c r="BV18" s="15">
        <f t="shared" si="1"/>
        <v>45107</v>
      </c>
      <c r="BW18" s="15">
        <f t="shared" si="1"/>
        <v>45107</v>
      </c>
      <c r="BX18" s="15">
        <f t="shared" si="1"/>
        <v>45107</v>
      </c>
      <c r="BY18" s="15">
        <f t="shared" si="1"/>
        <v>45107</v>
      </c>
      <c r="BZ18" s="15">
        <f t="shared" si="1"/>
        <v>45107</v>
      </c>
      <c r="CA18" s="15">
        <f t="shared" si="1"/>
        <v>45107</v>
      </c>
      <c r="CB18" s="15">
        <f t="shared" si="1"/>
        <v>45107</v>
      </c>
      <c r="CC18" s="15">
        <f t="shared" si="1"/>
        <v>45107</v>
      </c>
      <c r="CD18" s="15">
        <f t="shared" si="1"/>
        <v>45107</v>
      </c>
      <c r="CE18" s="15">
        <f t="shared" si="1"/>
        <v>45107</v>
      </c>
      <c r="CF18" s="15">
        <f t="shared" si="1"/>
        <v>45107</v>
      </c>
      <c r="CG18" s="15">
        <f t="shared" si="1"/>
        <v>45107</v>
      </c>
      <c r="CH18" s="15">
        <f t="shared" si="1"/>
        <v>45107</v>
      </c>
      <c r="CI18" s="15">
        <f t="shared" si="1"/>
        <v>45107</v>
      </c>
      <c r="CJ18" s="15">
        <f t="shared" si="1"/>
        <v>45107</v>
      </c>
      <c r="CK18" s="15">
        <f t="shared" si="1"/>
        <v>45107</v>
      </c>
      <c r="CL18" s="15">
        <f t="shared" si="1"/>
        <v>45107</v>
      </c>
      <c r="CM18" s="15">
        <f t="shared" si="1"/>
        <v>45107</v>
      </c>
      <c r="CN18" s="15">
        <f t="shared" si="1"/>
        <v>45138</v>
      </c>
      <c r="CO18" s="15">
        <f t="shared" si="1"/>
        <v>45138</v>
      </c>
      <c r="CP18" s="15">
        <f t="shared" si="1"/>
        <v>45138</v>
      </c>
      <c r="CQ18" s="15">
        <f t="shared" si="1"/>
        <v>45138</v>
      </c>
      <c r="CR18" s="15">
        <f t="shared" si="1"/>
        <v>45138</v>
      </c>
      <c r="CS18" s="15">
        <f t="shared" si="1"/>
        <v>45138</v>
      </c>
      <c r="CT18" s="15">
        <f t="shared" si="1"/>
        <v>45138</v>
      </c>
      <c r="CU18" s="15">
        <f t="shared" si="1"/>
        <v>45138</v>
      </c>
      <c r="CV18" s="15">
        <f t="shared" si="1"/>
        <v>45138</v>
      </c>
      <c r="CW18" s="15">
        <f t="shared" si="1"/>
        <v>45138</v>
      </c>
      <c r="CX18" s="15">
        <f t="shared" si="1"/>
        <v>45138</v>
      </c>
      <c r="CY18" s="15">
        <f t="shared" si="1"/>
        <v>45138</v>
      </c>
      <c r="CZ18" s="15">
        <f t="shared" si="1"/>
        <v>45138</v>
      </c>
      <c r="DA18" s="15">
        <f t="shared" si="1"/>
        <v>45138</v>
      </c>
      <c r="DB18" s="15">
        <f t="shared" si="1"/>
        <v>45138</v>
      </c>
      <c r="DC18" s="15">
        <f t="shared" si="1"/>
        <v>45138</v>
      </c>
      <c r="DD18" s="15">
        <f t="shared" si="1"/>
        <v>45138</v>
      </c>
      <c r="DE18" s="15">
        <f t="shared" si="1"/>
        <v>45138</v>
      </c>
      <c r="DF18" s="15">
        <f t="shared" si="1"/>
        <v>45138</v>
      </c>
      <c r="DG18" s="15">
        <f t="shared" si="1"/>
        <v>45138</v>
      </c>
      <c r="DH18" s="15">
        <f t="shared" si="1"/>
        <v>45138</v>
      </c>
      <c r="DI18" s="15">
        <f t="shared" si="1"/>
        <v>45138</v>
      </c>
      <c r="DJ18" s="15">
        <f t="shared" si="1"/>
        <v>45138</v>
      </c>
      <c r="DK18" s="15">
        <f t="shared" si="1"/>
        <v>45138</v>
      </c>
      <c r="DL18" s="15">
        <f t="shared" si="1"/>
        <v>45138</v>
      </c>
      <c r="DM18" s="15">
        <f t="shared" si="1"/>
        <v>45138</v>
      </c>
      <c r="DN18" s="15">
        <f t="shared" si="1"/>
        <v>45138</v>
      </c>
      <c r="DO18" s="15">
        <f t="shared" si="1"/>
        <v>45138</v>
      </c>
      <c r="DP18" s="15">
        <f t="shared" si="1"/>
        <v>45138</v>
      </c>
      <c r="DQ18" s="15">
        <f t="shared" si="1"/>
        <v>45138</v>
      </c>
      <c r="DR18" s="15">
        <f t="shared" si="1"/>
        <v>45138</v>
      </c>
      <c r="DS18" s="15">
        <f t="shared" si="1"/>
        <v>45169</v>
      </c>
      <c r="DT18" s="15">
        <f t="shared" si="1"/>
        <v>45169</v>
      </c>
      <c r="DU18" s="15">
        <f t="shared" si="1"/>
        <v>45169</v>
      </c>
      <c r="DV18" s="15">
        <f t="shared" si="1"/>
        <v>45169</v>
      </c>
      <c r="DW18" s="15">
        <f t="shared" si="1"/>
        <v>45169</v>
      </c>
      <c r="DX18" s="15">
        <f t="shared" si="1"/>
        <v>45169</v>
      </c>
      <c r="DY18" s="15">
        <f t="shared" si="1"/>
        <v>45169</v>
      </c>
      <c r="DZ18" s="15">
        <f t="shared" si="1"/>
        <v>45169</v>
      </c>
      <c r="EA18" s="15">
        <f t="shared" si="1"/>
        <v>45169</v>
      </c>
      <c r="EB18" s="15">
        <f t="shared" si="1"/>
        <v>45169</v>
      </c>
      <c r="EC18" s="15">
        <f t="shared" ref="EC18:GN18" si="2">EOMONTH(EC20,0)</f>
        <v>45169</v>
      </c>
      <c r="ED18" s="15">
        <f t="shared" si="2"/>
        <v>45169</v>
      </c>
      <c r="EE18" s="15">
        <f t="shared" si="2"/>
        <v>45169</v>
      </c>
      <c r="EF18" s="15">
        <f t="shared" si="2"/>
        <v>45169</v>
      </c>
      <c r="EG18" s="15">
        <f t="shared" si="2"/>
        <v>45169</v>
      </c>
      <c r="EH18" s="15">
        <f t="shared" si="2"/>
        <v>45169</v>
      </c>
      <c r="EI18" s="15">
        <f t="shared" si="2"/>
        <v>45169</v>
      </c>
      <c r="EJ18" s="15">
        <f t="shared" si="2"/>
        <v>45169</v>
      </c>
      <c r="EK18" s="15">
        <f t="shared" si="2"/>
        <v>45169</v>
      </c>
      <c r="EL18" s="15">
        <f t="shared" si="2"/>
        <v>45169</v>
      </c>
      <c r="EM18" s="15">
        <f t="shared" si="2"/>
        <v>45169</v>
      </c>
      <c r="EN18" s="15">
        <f t="shared" si="2"/>
        <v>45169</v>
      </c>
      <c r="EO18" s="15">
        <f t="shared" si="2"/>
        <v>45169</v>
      </c>
      <c r="EP18" s="15">
        <f t="shared" si="2"/>
        <v>45169</v>
      </c>
      <c r="EQ18" s="15">
        <f t="shared" si="2"/>
        <v>45169</v>
      </c>
      <c r="ER18" s="15">
        <f t="shared" si="2"/>
        <v>45169</v>
      </c>
      <c r="ES18" s="15">
        <f t="shared" si="2"/>
        <v>45169</v>
      </c>
      <c r="ET18" s="15">
        <f t="shared" si="2"/>
        <v>45169</v>
      </c>
      <c r="EU18" s="15">
        <f t="shared" si="2"/>
        <v>45169</v>
      </c>
      <c r="EV18" s="15">
        <f t="shared" si="2"/>
        <v>45169</v>
      </c>
      <c r="EW18" s="15">
        <f t="shared" si="2"/>
        <v>45169</v>
      </c>
      <c r="EX18" s="15">
        <f t="shared" si="2"/>
        <v>45199</v>
      </c>
      <c r="EY18" s="15">
        <f t="shared" si="2"/>
        <v>45199</v>
      </c>
      <c r="EZ18" s="15">
        <f t="shared" si="2"/>
        <v>45199</v>
      </c>
      <c r="FA18" s="15">
        <f t="shared" si="2"/>
        <v>45199</v>
      </c>
      <c r="FB18" s="15">
        <f t="shared" si="2"/>
        <v>45199</v>
      </c>
      <c r="FC18" s="15">
        <f t="shared" si="2"/>
        <v>45199</v>
      </c>
      <c r="FD18" s="15">
        <f t="shared" si="2"/>
        <v>45199</v>
      </c>
      <c r="FE18" s="15">
        <f t="shared" si="2"/>
        <v>45199</v>
      </c>
      <c r="FF18" s="15">
        <f t="shared" si="2"/>
        <v>45199</v>
      </c>
      <c r="FG18" s="15">
        <f t="shared" si="2"/>
        <v>45199</v>
      </c>
      <c r="FH18" s="15">
        <f t="shared" si="2"/>
        <v>45199</v>
      </c>
      <c r="FI18" s="15">
        <f t="shared" si="2"/>
        <v>45199</v>
      </c>
      <c r="FJ18" s="15">
        <f t="shared" si="2"/>
        <v>45199</v>
      </c>
      <c r="FK18" s="15">
        <f t="shared" si="2"/>
        <v>45199</v>
      </c>
      <c r="FL18" s="15">
        <f t="shared" si="2"/>
        <v>45199</v>
      </c>
      <c r="FM18" s="15">
        <f t="shared" si="2"/>
        <v>45199</v>
      </c>
      <c r="FN18" s="15">
        <f t="shared" si="2"/>
        <v>45199</v>
      </c>
      <c r="FO18" s="15">
        <f t="shared" si="2"/>
        <v>45199</v>
      </c>
      <c r="FP18" s="15">
        <f t="shared" si="2"/>
        <v>45199</v>
      </c>
      <c r="FQ18" s="15">
        <f t="shared" si="2"/>
        <v>45199</v>
      </c>
      <c r="FR18" s="15">
        <f t="shared" si="2"/>
        <v>45199</v>
      </c>
      <c r="FS18" s="15">
        <f t="shared" si="2"/>
        <v>45199</v>
      </c>
      <c r="FT18" s="15">
        <f t="shared" si="2"/>
        <v>45199</v>
      </c>
      <c r="FU18" s="15">
        <f t="shared" si="2"/>
        <v>45199</v>
      </c>
      <c r="FV18" s="15">
        <f t="shared" si="2"/>
        <v>45199</v>
      </c>
      <c r="FW18" s="15">
        <f t="shared" si="2"/>
        <v>45199</v>
      </c>
      <c r="FX18" s="15">
        <f t="shared" si="2"/>
        <v>45199</v>
      </c>
      <c r="FY18" s="15">
        <f t="shared" si="2"/>
        <v>45199</v>
      </c>
      <c r="FZ18" s="15">
        <f t="shared" si="2"/>
        <v>45199</v>
      </c>
      <c r="GA18" s="15">
        <f t="shared" si="2"/>
        <v>45199</v>
      </c>
      <c r="GB18" s="15">
        <f t="shared" si="2"/>
        <v>45230</v>
      </c>
      <c r="GC18" s="15">
        <f t="shared" si="2"/>
        <v>45230</v>
      </c>
      <c r="GD18" s="15">
        <f t="shared" si="2"/>
        <v>45230</v>
      </c>
      <c r="GE18" s="15">
        <f t="shared" si="2"/>
        <v>45230</v>
      </c>
      <c r="GF18" s="15">
        <f t="shared" si="2"/>
        <v>45230</v>
      </c>
      <c r="GG18" s="15">
        <f t="shared" si="2"/>
        <v>45230</v>
      </c>
      <c r="GH18" s="15">
        <f t="shared" si="2"/>
        <v>45230</v>
      </c>
      <c r="GI18" s="15">
        <f t="shared" si="2"/>
        <v>45230</v>
      </c>
      <c r="GJ18" s="15">
        <f t="shared" si="2"/>
        <v>45230</v>
      </c>
      <c r="GK18" s="15">
        <f t="shared" si="2"/>
        <v>45230</v>
      </c>
      <c r="GL18" s="15">
        <f t="shared" si="2"/>
        <v>45230</v>
      </c>
      <c r="GM18" s="15">
        <f t="shared" si="2"/>
        <v>45230</v>
      </c>
      <c r="GN18" s="15">
        <f t="shared" si="2"/>
        <v>45230</v>
      </c>
      <c r="GO18" s="15">
        <f t="shared" ref="GO18:IZ18" si="3">EOMONTH(GO20,0)</f>
        <v>45230</v>
      </c>
      <c r="GP18" s="15">
        <f t="shared" si="3"/>
        <v>45230</v>
      </c>
      <c r="GQ18" s="15">
        <f t="shared" si="3"/>
        <v>45230</v>
      </c>
      <c r="GR18" s="15">
        <f t="shared" si="3"/>
        <v>45230</v>
      </c>
      <c r="GS18" s="15">
        <f t="shared" si="3"/>
        <v>45230</v>
      </c>
      <c r="GT18" s="15">
        <f t="shared" si="3"/>
        <v>45230</v>
      </c>
      <c r="GU18" s="15">
        <f t="shared" si="3"/>
        <v>45230</v>
      </c>
      <c r="GV18" s="15">
        <f t="shared" si="3"/>
        <v>45230</v>
      </c>
      <c r="GW18" s="15">
        <f t="shared" si="3"/>
        <v>45230</v>
      </c>
      <c r="GX18" s="15">
        <f t="shared" si="3"/>
        <v>45230</v>
      </c>
      <c r="GY18" s="15">
        <f t="shared" si="3"/>
        <v>45230</v>
      </c>
      <c r="GZ18" s="15">
        <f t="shared" si="3"/>
        <v>45230</v>
      </c>
      <c r="HA18" s="15">
        <f t="shared" si="3"/>
        <v>45230</v>
      </c>
      <c r="HB18" s="15">
        <f t="shared" si="3"/>
        <v>45230</v>
      </c>
      <c r="HC18" s="15">
        <f t="shared" si="3"/>
        <v>45230</v>
      </c>
      <c r="HD18" s="15">
        <f t="shared" si="3"/>
        <v>45230</v>
      </c>
      <c r="HE18" s="15">
        <f t="shared" si="3"/>
        <v>45230</v>
      </c>
      <c r="HF18" s="15">
        <f t="shared" si="3"/>
        <v>45230</v>
      </c>
      <c r="HG18" s="15">
        <f t="shared" si="3"/>
        <v>45260</v>
      </c>
      <c r="HH18" s="15">
        <f t="shared" si="3"/>
        <v>45260</v>
      </c>
      <c r="HI18" s="15">
        <f t="shared" si="3"/>
        <v>45260</v>
      </c>
      <c r="HJ18" s="15">
        <f t="shared" si="3"/>
        <v>45260</v>
      </c>
      <c r="HK18" s="15">
        <f t="shared" si="3"/>
        <v>45260</v>
      </c>
      <c r="HL18" s="15">
        <f t="shared" si="3"/>
        <v>45260</v>
      </c>
      <c r="HM18" s="15">
        <f t="shared" si="3"/>
        <v>45260</v>
      </c>
      <c r="HN18" s="15">
        <f t="shared" si="3"/>
        <v>45260</v>
      </c>
      <c r="HO18" s="15">
        <f t="shared" si="3"/>
        <v>45260</v>
      </c>
      <c r="HP18" s="15">
        <f t="shared" si="3"/>
        <v>45260</v>
      </c>
      <c r="HQ18" s="15">
        <f t="shared" si="3"/>
        <v>45260</v>
      </c>
      <c r="HR18" s="15">
        <f t="shared" si="3"/>
        <v>45260</v>
      </c>
      <c r="HS18" s="15">
        <f t="shared" si="3"/>
        <v>45260</v>
      </c>
      <c r="HT18" s="15">
        <f t="shared" si="3"/>
        <v>45260</v>
      </c>
      <c r="HU18" s="15">
        <f t="shared" si="3"/>
        <v>45260</v>
      </c>
      <c r="HV18" s="15">
        <f t="shared" si="3"/>
        <v>45260</v>
      </c>
      <c r="HW18" s="15">
        <f t="shared" si="3"/>
        <v>45260</v>
      </c>
      <c r="HX18" s="15">
        <f t="shared" si="3"/>
        <v>45260</v>
      </c>
      <c r="HY18" s="15">
        <f t="shared" si="3"/>
        <v>45260</v>
      </c>
      <c r="HZ18" s="15">
        <f t="shared" si="3"/>
        <v>45260</v>
      </c>
      <c r="IA18" s="15">
        <f t="shared" si="3"/>
        <v>45260</v>
      </c>
      <c r="IB18" s="15">
        <f t="shared" si="3"/>
        <v>45260</v>
      </c>
      <c r="IC18" s="15">
        <f t="shared" si="3"/>
        <v>45260</v>
      </c>
      <c r="ID18" s="15">
        <f t="shared" si="3"/>
        <v>45260</v>
      </c>
      <c r="IE18" s="15">
        <f t="shared" si="3"/>
        <v>45260</v>
      </c>
      <c r="IF18" s="15">
        <f t="shared" si="3"/>
        <v>45260</v>
      </c>
      <c r="IG18" s="15">
        <f t="shared" si="3"/>
        <v>45260</v>
      </c>
      <c r="IH18" s="15">
        <f t="shared" si="3"/>
        <v>45260</v>
      </c>
      <c r="II18" s="15">
        <f t="shared" si="3"/>
        <v>45260</v>
      </c>
      <c r="IJ18" s="15">
        <f t="shared" si="3"/>
        <v>45260</v>
      </c>
      <c r="IK18" s="15">
        <f t="shared" si="3"/>
        <v>45291</v>
      </c>
      <c r="IL18" s="15">
        <f t="shared" si="3"/>
        <v>45291</v>
      </c>
      <c r="IM18" s="15">
        <f t="shared" si="3"/>
        <v>45291</v>
      </c>
      <c r="IN18" s="15">
        <f t="shared" si="3"/>
        <v>45291</v>
      </c>
      <c r="IO18" s="15">
        <f t="shared" si="3"/>
        <v>45291</v>
      </c>
      <c r="IP18" s="15">
        <f t="shared" si="3"/>
        <v>45291</v>
      </c>
      <c r="IQ18" s="15">
        <f t="shared" si="3"/>
        <v>45291</v>
      </c>
      <c r="IR18" s="15">
        <f t="shared" si="3"/>
        <v>45291</v>
      </c>
      <c r="IS18" s="15">
        <f t="shared" si="3"/>
        <v>45291</v>
      </c>
      <c r="IT18" s="15">
        <f t="shared" si="3"/>
        <v>45291</v>
      </c>
      <c r="IU18" s="15">
        <f t="shared" si="3"/>
        <v>45291</v>
      </c>
      <c r="IV18" s="15">
        <f t="shared" si="3"/>
        <v>45291</v>
      </c>
      <c r="IW18" s="15">
        <f t="shared" si="3"/>
        <v>45291</v>
      </c>
      <c r="IX18" s="15">
        <f t="shared" si="3"/>
        <v>45291</v>
      </c>
      <c r="IY18" s="15">
        <f t="shared" si="3"/>
        <v>45291</v>
      </c>
      <c r="IZ18" s="15">
        <f t="shared" si="3"/>
        <v>45291</v>
      </c>
      <c r="JA18" s="15">
        <f t="shared" ref="JA18:JO18" si="4">EOMONTH(JA20,0)</f>
        <v>45291</v>
      </c>
      <c r="JB18" s="15">
        <f t="shared" si="4"/>
        <v>45291</v>
      </c>
      <c r="JC18" s="15">
        <f t="shared" si="4"/>
        <v>45291</v>
      </c>
      <c r="JD18" s="15">
        <f t="shared" si="4"/>
        <v>45291</v>
      </c>
      <c r="JE18" s="15">
        <f t="shared" si="4"/>
        <v>45291</v>
      </c>
      <c r="JF18" s="15">
        <f t="shared" si="4"/>
        <v>45291</v>
      </c>
      <c r="JG18" s="15">
        <f t="shared" si="4"/>
        <v>45291</v>
      </c>
      <c r="JH18" s="15">
        <f t="shared" si="4"/>
        <v>45291</v>
      </c>
      <c r="JI18" s="15">
        <f t="shared" si="4"/>
        <v>45291</v>
      </c>
      <c r="JJ18" s="15">
        <f t="shared" si="4"/>
        <v>45291</v>
      </c>
      <c r="JK18" s="15">
        <f t="shared" si="4"/>
        <v>45291</v>
      </c>
      <c r="JL18" s="15">
        <f t="shared" si="4"/>
        <v>45291</v>
      </c>
      <c r="JM18" s="15">
        <f t="shared" si="4"/>
        <v>45291</v>
      </c>
      <c r="JN18" s="15">
        <f t="shared" si="4"/>
        <v>45291</v>
      </c>
      <c r="JO18" s="15">
        <f t="shared" si="4"/>
        <v>45291</v>
      </c>
      <c r="JP18" s="15">
        <f t="shared" ref="JP18:MA18" si="5">EOMONTH(JP20,0)</f>
        <v>45322</v>
      </c>
      <c r="JQ18" s="15">
        <f t="shared" si="5"/>
        <v>45322</v>
      </c>
      <c r="JR18" s="15">
        <f t="shared" si="5"/>
        <v>45322</v>
      </c>
      <c r="JS18" s="15">
        <f t="shared" si="5"/>
        <v>45322</v>
      </c>
      <c r="JT18" s="15">
        <f t="shared" si="5"/>
        <v>45322</v>
      </c>
      <c r="JU18" s="15">
        <f t="shared" si="5"/>
        <v>45322</v>
      </c>
      <c r="JV18" s="15">
        <f t="shared" si="5"/>
        <v>45322</v>
      </c>
      <c r="JW18" s="15">
        <f t="shared" si="5"/>
        <v>45322</v>
      </c>
      <c r="JX18" s="15">
        <f t="shared" si="5"/>
        <v>45322</v>
      </c>
      <c r="JY18" s="15">
        <f t="shared" si="5"/>
        <v>45322</v>
      </c>
      <c r="JZ18" s="15">
        <f t="shared" si="5"/>
        <v>45322</v>
      </c>
      <c r="KA18" s="15">
        <f t="shared" si="5"/>
        <v>45322</v>
      </c>
      <c r="KB18" s="15">
        <f t="shared" si="5"/>
        <v>45322</v>
      </c>
      <c r="KC18" s="15">
        <f t="shared" si="5"/>
        <v>45322</v>
      </c>
      <c r="KD18" s="15">
        <f t="shared" si="5"/>
        <v>45322</v>
      </c>
      <c r="KE18" s="15">
        <f t="shared" si="5"/>
        <v>45322</v>
      </c>
      <c r="KF18" s="15">
        <f t="shared" si="5"/>
        <v>45322</v>
      </c>
      <c r="KG18" s="15">
        <f t="shared" si="5"/>
        <v>45322</v>
      </c>
      <c r="KH18" s="15">
        <f t="shared" si="5"/>
        <v>45322</v>
      </c>
      <c r="KI18" s="15">
        <f t="shared" si="5"/>
        <v>45322</v>
      </c>
      <c r="KJ18" s="15">
        <f t="shared" si="5"/>
        <v>45322</v>
      </c>
      <c r="KK18" s="15">
        <f t="shared" si="5"/>
        <v>45322</v>
      </c>
      <c r="KL18" s="15">
        <f t="shared" si="5"/>
        <v>45322</v>
      </c>
      <c r="KM18" s="15">
        <f t="shared" si="5"/>
        <v>45322</v>
      </c>
      <c r="KN18" s="15">
        <f t="shared" si="5"/>
        <v>45322</v>
      </c>
      <c r="KO18" s="15">
        <f t="shared" si="5"/>
        <v>45322</v>
      </c>
      <c r="KP18" s="15">
        <f t="shared" si="5"/>
        <v>45322</v>
      </c>
      <c r="KQ18" s="15">
        <f t="shared" si="5"/>
        <v>45322</v>
      </c>
      <c r="KR18" s="15">
        <f t="shared" si="5"/>
        <v>45322</v>
      </c>
      <c r="KS18" s="15">
        <f t="shared" si="5"/>
        <v>45322</v>
      </c>
      <c r="KT18" s="15">
        <f t="shared" si="5"/>
        <v>45322</v>
      </c>
      <c r="KU18" s="15">
        <f t="shared" si="5"/>
        <v>45351</v>
      </c>
      <c r="KV18" s="15">
        <f t="shared" si="5"/>
        <v>45351</v>
      </c>
      <c r="KW18" s="15">
        <f t="shared" si="5"/>
        <v>45351</v>
      </c>
      <c r="KX18" s="15">
        <f t="shared" si="5"/>
        <v>45351</v>
      </c>
      <c r="KY18" s="15">
        <f t="shared" si="5"/>
        <v>45351</v>
      </c>
      <c r="KZ18" s="15">
        <f t="shared" si="5"/>
        <v>45351</v>
      </c>
      <c r="LA18" s="15">
        <f t="shared" si="5"/>
        <v>45351</v>
      </c>
      <c r="LB18" s="15">
        <f t="shared" si="5"/>
        <v>45351</v>
      </c>
      <c r="LC18" s="15">
        <f t="shared" si="5"/>
        <v>45351</v>
      </c>
      <c r="LD18" s="15">
        <f t="shared" si="5"/>
        <v>45351</v>
      </c>
      <c r="LE18" s="15">
        <f t="shared" si="5"/>
        <v>45351</v>
      </c>
      <c r="LF18" s="15">
        <f t="shared" si="5"/>
        <v>45351</v>
      </c>
      <c r="LG18" s="15">
        <f t="shared" si="5"/>
        <v>45351</v>
      </c>
      <c r="LH18" s="15">
        <f t="shared" si="5"/>
        <v>45351</v>
      </c>
      <c r="LI18" s="15">
        <f t="shared" si="5"/>
        <v>45351</v>
      </c>
      <c r="LJ18" s="15">
        <f t="shared" si="5"/>
        <v>45351</v>
      </c>
      <c r="LK18" s="15">
        <f t="shared" si="5"/>
        <v>45351</v>
      </c>
      <c r="LL18" s="15">
        <f t="shared" si="5"/>
        <v>45351</v>
      </c>
      <c r="LM18" s="15">
        <f t="shared" si="5"/>
        <v>45351</v>
      </c>
      <c r="LN18" s="15">
        <f t="shared" si="5"/>
        <v>45351</v>
      </c>
      <c r="LO18" s="15">
        <f t="shared" si="5"/>
        <v>45351</v>
      </c>
      <c r="LP18" s="15">
        <f t="shared" si="5"/>
        <v>45351</v>
      </c>
      <c r="LQ18" s="15">
        <f t="shared" si="5"/>
        <v>45351</v>
      </c>
      <c r="LR18" s="15">
        <f t="shared" si="5"/>
        <v>45351</v>
      </c>
      <c r="LS18" s="15">
        <f t="shared" si="5"/>
        <v>45351</v>
      </c>
      <c r="LT18" s="15">
        <f t="shared" si="5"/>
        <v>45351</v>
      </c>
      <c r="LU18" s="15">
        <f t="shared" si="5"/>
        <v>45351</v>
      </c>
      <c r="LV18" s="15">
        <f t="shared" si="5"/>
        <v>45351</v>
      </c>
      <c r="LW18" s="15">
        <f t="shared" si="5"/>
        <v>45351</v>
      </c>
      <c r="LX18" s="15">
        <f t="shared" si="5"/>
        <v>45382</v>
      </c>
      <c r="LY18" s="15">
        <f t="shared" si="5"/>
        <v>45382</v>
      </c>
      <c r="LZ18" s="15">
        <f t="shared" si="5"/>
        <v>45382</v>
      </c>
      <c r="MA18" s="15">
        <f t="shared" si="5"/>
        <v>45382</v>
      </c>
      <c r="MB18" s="15">
        <f t="shared" ref="MB18:MD18" si="6">EOMONTH(MB20,0)</f>
        <v>45382</v>
      </c>
      <c r="MC18" s="15">
        <f t="shared" si="6"/>
        <v>45382</v>
      </c>
      <c r="MD18" s="15">
        <f t="shared" si="6"/>
        <v>45382</v>
      </c>
      <c r="ME18" s="15">
        <f t="shared" ref="ME18:OP18" si="7">EOMONTH(ME20,0)</f>
        <v>45382</v>
      </c>
      <c r="MF18" s="15">
        <f t="shared" si="7"/>
        <v>45382</v>
      </c>
      <c r="MG18" s="15">
        <f t="shared" si="7"/>
        <v>45382</v>
      </c>
      <c r="MH18" s="15">
        <f t="shared" si="7"/>
        <v>45382</v>
      </c>
      <c r="MI18" s="15">
        <f t="shared" si="7"/>
        <v>45382</v>
      </c>
      <c r="MJ18" s="15">
        <f t="shared" si="7"/>
        <v>45382</v>
      </c>
      <c r="MK18" s="15">
        <f t="shared" si="7"/>
        <v>45382</v>
      </c>
      <c r="ML18" s="15">
        <f t="shared" si="7"/>
        <v>45382</v>
      </c>
      <c r="MM18" s="15">
        <f t="shared" si="7"/>
        <v>45382</v>
      </c>
      <c r="MN18" s="15">
        <f t="shared" si="7"/>
        <v>45382</v>
      </c>
      <c r="MO18" s="15">
        <f t="shared" si="7"/>
        <v>45382</v>
      </c>
      <c r="MP18" s="15">
        <f t="shared" si="7"/>
        <v>45382</v>
      </c>
      <c r="MQ18" s="15">
        <f t="shared" si="7"/>
        <v>45382</v>
      </c>
      <c r="MR18" s="15">
        <f t="shared" si="7"/>
        <v>45382</v>
      </c>
      <c r="MS18" s="15">
        <f t="shared" si="7"/>
        <v>45382</v>
      </c>
      <c r="MT18" s="15">
        <f t="shared" si="7"/>
        <v>45382</v>
      </c>
      <c r="MU18" s="15">
        <f t="shared" si="7"/>
        <v>45382</v>
      </c>
      <c r="MV18" s="15">
        <f t="shared" si="7"/>
        <v>45382</v>
      </c>
      <c r="MW18" s="15">
        <f t="shared" si="7"/>
        <v>45382</v>
      </c>
      <c r="MX18" s="15">
        <f t="shared" si="7"/>
        <v>45382</v>
      </c>
      <c r="MY18" s="15">
        <f t="shared" si="7"/>
        <v>45382</v>
      </c>
      <c r="MZ18" s="15">
        <f t="shared" si="7"/>
        <v>45382</v>
      </c>
      <c r="NA18" s="15">
        <f t="shared" si="7"/>
        <v>45382</v>
      </c>
      <c r="NB18" s="15">
        <f t="shared" si="7"/>
        <v>45382</v>
      </c>
      <c r="NC18" s="15">
        <f t="shared" si="7"/>
        <v>45412</v>
      </c>
      <c r="ND18" s="15">
        <f t="shared" si="7"/>
        <v>45412</v>
      </c>
      <c r="NE18" s="15">
        <f t="shared" si="7"/>
        <v>45412</v>
      </c>
      <c r="NF18" s="15">
        <f t="shared" si="7"/>
        <v>45412</v>
      </c>
      <c r="NG18" s="15">
        <f t="shared" si="7"/>
        <v>45412</v>
      </c>
      <c r="NH18" s="15">
        <f t="shared" si="7"/>
        <v>45412</v>
      </c>
      <c r="NI18" s="15">
        <f t="shared" si="7"/>
        <v>45412</v>
      </c>
      <c r="NJ18" s="15">
        <f t="shared" si="7"/>
        <v>45412</v>
      </c>
      <c r="NK18" s="15">
        <f t="shared" si="7"/>
        <v>45412</v>
      </c>
      <c r="NL18" s="15">
        <f t="shared" si="7"/>
        <v>45412</v>
      </c>
      <c r="NM18" s="15">
        <f t="shared" si="7"/>
        <v>45412</v>
      </c>
      <c r="NN18" s="15">
        <f t="shared" si="7"/>
        <v>45412</v>
      </c>
      <c r="NO18" s="15">
        <f t="shared" si="7"/>
        <v>45412</v>
      </c>
      <c r="NP18" s="15">
        <f t="shared" si="7"/>
        <v>45412</v>
      </c>
      <c r="NQ18" s="15">
        <f t="shared" si="7"/>
        <v>45412</v>
      </c>
      <c r="NR18" s="15">
        <f t="shared" si="7"/>
        <v>45412</v>
      </c>
      <c r="NS18" s="15">
        <f t="shared" si="7"/>
        <v>45412</v>
      </c>
      <c r="NT18" s="15">
        <f t="shared" si="7"/>
        <v>45412</v>
      </c>
      <c r="NU18" s="15">
        <f t="shared" si="7"/>
        <v>45412</v>
      </c>
      <c r="NV18" s="15">
        <f t="shared" si="7"/>
        <v>45412</v>
      </c>
      <c r="NW18" s="15">
        <f t="shared" si="7"/>
        <v>45412</v>
      </c>
      <c r="NX18" s="15">
        <f t="shared" si="7"/>
        <v>45412</v>
      </c>
      <c r="NY18" s="15">
        <f t="shared" si="7"/>
        <v>45412</v>
      </c>
      <c r="NZ18" s="15">
        <f t="shared" si="7"/>
        <v>45412</v>
      </c>
      <c r="OA18" s="15">
        <f t="shared" si="7"/>
        <v>45412</v>
      </c>
      <c r="OB18" s="15">
        <f t="shared" si="7"/>
        <v>45412</v>
      </c>
      <c r="OC18" s="15">
        <f t="shared" si="7"/>
        <v>45412</v>
      </c>
      <c r="OD18" s="15">
        <f t="shared" si="7"/>
        <v>45412</v>
      </c>
      <c r="OE18" s="15">
        <f t="shared" si="7"/>
        <v>45412</v>
      </c>
      <c r="OF18" s="15">
        <f t="shared" si="7"/>
        <v>45412</v>
      </c>
      <c r="OG18" s="15">
        <f t="shared" si="7"/>
        <v>45443</v>
      </c>
      <c r="OH18" s="15">
        <f t="shared" si="7"/>
        <v>45443</v>
      </c>
      <c r="OI18" s="15">
        <f t="shared" si="7"/>
        <v>45443</v>
      </c>
      <c r="OJ18" s="15">
        <f t="shared" si="7"/>
        <v>45443</v>
      </c>
      <c r="OK18" s="15">
        <f t="shared" si="7"/>
        <v>45443</v>
      </c>
      <c r="OL18" s="15">
        <f t="shared" si="7"/>
        <v>45443</v>
      </c>
      <c r="OM18" s="15">
        <f t="shared" si="7"/>
        <v>45443</v>
      </c>
      <c r="ON18" s="15">
        <f t="shared" si="7"/>
        <v>45443</v>
      </c>
      <c r="OO18" s="15">
        <f t="shared" si="7"/>
        <v>45443</v>
      </c>
      <c r="OP18" s="15">
        <f t="shared" si="7"/>
        <v>45443</v>
      </c>
      <c r="OQ18" s="15">
        <f t="shared" ref="OQ18:RB18" si="8">EOMONTH(OQ20,0)</f>
        <v>45443</v>
      </c>
      <c r="OR18" s="15">
        <f t="shared" si="8"/>
        <v>45443</v>
      </c>
      <c r="OS18" s="15">
        <f t="shared" si="8"/>
        <v>45443</v>
      </c>
      <c r="OT18" s="15">
        <f t="shared" si="8"/>
        <v>45443</v>
      </c>
      <c r="OU18" s="15">
        <f t="shared" si="8"/>
        <v>45443</v>
      </c>
      <c r="OV18" s="15">
        <f t="shared" si="8"/>
        <v>45443</v>
      </c>
      <c r="OW18" s="15">
        <f t="shared" si="8"/>
        <v>45443</v>
      </c>
      <c r="OX18" s="15">
        <f t="shared" si="8"/>
        <v>45443</v>
      </c>
      <c r="OY18" s="15">
        <f t="shared" si="8"/>
        <v>45443</v>
      </c>
      <c r="OZ18" s="15">
        <f t="shared" si="8"/>
        <v>45443</v>
      </c>
      <c r="PA18" s="15">
        <f t="shared" si="8"/>
        <v>45443</v>
      </c>
      <c r="PB18" s="15">
        <f t="shared" si="8"/>
        <v>45443</v>
      </c>
      <c r="PC18" s="15">
        <f t="shared" si="8"/>
        <v>45443</v>
      </c>
      <c r="PD18" s="15">
        <f t="shared" si="8"/>
        <v>45443</v>
      </c>
      <c r="PE18" s="15">
        <f t="shared" si="8"/>
        <v>45443</v>
      </c>
      <c r="PF18" s="15">
        <f t="shared" si="8"/>
        <v>45443</v>
      </c>
      <c r="PG18" s="15">
        <f t="shared" si="8"/>
        <v>45443</v>
      </c>
      <c r="PH18" s="15">
        <f t="shared" si="8"/>
        <v>45443</v>
      </c>
      <c r="PI18" s="15">
        <f t="shared" si="8"/>
        <v>45443</v>
      </c>
      <c r="PJ18" s="15">
        <f t="shared" si="8"/>
        <v>45443</v>
      </c>
      <c r="PK18" s="15">
        <f t="shared" si="8"/>
        <v>45443</v>
      </c>
      <c r="PL18" s="15">
        <f t="shared" si="8"/>
        <v>45473</v>
      </c>
      <c r="PM18" s="15">
        <f t="shared" si="8"/>
        <v>45473</v>
      </c>
      <c r="PN18" s="15">
        <f t="shared" si="8"/>
        <v>45473</v>
      </c>
      <c r="PO18" s="15">
        <f t="shared" si="8"/>
        <v>45473</v>
      </c>
      <c r="PP18" s="15">
        <f t="shared" si="8"/>
        <v>45473</v>
      </c>
      <c r="PQ18" s="15">
        <f t="shared" si="8"/>
        <v>45473</v>
      </c>
      <c r="PR18" s="15">
        <f t="shared" si="8"/>
        <v>45473</v>
      </c>
      <c r="PS18" s="15">
        <f t="shared" si="8"/>
        <v>45473</v>
      </c>
      <c r="PT18" s="15">
        <f t="shared" si="8"/>
        <v>45473</v>
      </c>
      <c r="PU18" s="15">
        <f t="shared" si="8"/>
        <v>45473</v>
      </c>
      <c r="PV18" s="15">
        <f t="shared" si="8"/>
        <v>45473</v>
      </c>
      <c r="PW18" s="15">
        <f t="shared" si="8"/>
        <v>45473</v>
      </c>
      <c r="PX18" s="15">
        <f t="shared" si="8"/>
        <v>45473</v>
      </c>
      <c r="PY18" s="15">
        <f t="shared" si="8"/>
        <v>45473</v>
      </c>
      <c r="PZ18" s="15">
        <f t="shared" si="8"/>
        <v>45473</v>
      </c>
      <c r="QA18" s="15">
        <f t="shared" si="8"/>
        <v>45473</v>
      </c>
      <c r="QB18" s="15">
        <f t="shared" si="8"/>
        <v>45473</v>
      </c>
      <c r="QC18" s="15">
        <f t="shared" si="8"/>
        <v>45473</v>
      </c>
      <c r="QD18" s="15">
        <f t="shared" si="8"/>
        <v>45473</v>
      </c>
      <c r="QE18" s="15">
        <f t="shared" si="8"/>
        <v>45473</v>
      </c>
      <c r="QF18" s="15">
        <f t="shared" si="8"/>
        <v>45473</v>
      </c>
      <c r="QG18" s="15">
        <f t="shared" si="8"/>
        <v>45473</v>
      </c>
      <c r="QH18" s="15">
        <f t="shared" si="8"/>
        <v>45473</v>
      </c>
      <c r="QI18" s="15">
        <f t="shared" si="8"/>
        <v>45473</v>
      </c>
      <c r="QJ18" s="15">
        <f t="shared" si="8"/>
        <v>45473</v>
      </c>
      <c r="QK18" s="15">
        <f t="shared" si="8"/>
        <v>45473</v>
      </c>
      <c r="QL18" s="15">
        <f t="shared" si="8"/>
        <v>45473</v>
      </c>
      <c r="QM18" s="15">
        <f t="shared" si="8"/>
        <v>45473</v>
      </c>
      <c r="QN18" s="15">
        <f t="shared" si="8"/>
        <v>45473</v>
      </c>
      <c r="QO18" s="15">
        <f t="shared" si="8"/>
        <v>45473</v>
      </c>
      <c r="QP18" s="15">
        <f t="shared" si="8"/>
        <v>45504</v>
      </c>
      <c r="QQ18" s="15">
        <f t="shared" si="8"/>
        <v>45504</v>
      </c>
      <c r="QR18" s="15">
        <f t="shared" si="8"/>
        <v>45504</v>
      </c>
      <c r="QS18" s="15">
        <f t="shared" si="8"/>
        <v>45504</v>
      </c>
      <c r="QT18" s="15">
        <f t="shared" si="8"/>
        <v>45504</v>
      </c>
      <c r="QU18" s="15">
        <f t="shared" si="8"/>
        <v>45504</v>
      </c>
      <c r="QV18" s="15">
        <f t="shared" si="8"/>
        <v>45504</v>
      </c>
      <c r="QW18" s="15">
        <f t="shared" si="8"/>
        <v>45504</v>
      </c>
      <c r="QX18" s="15">
        <f t="shared" si="8"/>
        <v>45504</v>
      </c>
      <c r="QY18" s="15">
        <f t="shared" si="8"/>
        <v>45504</v>
      </c>
      <c r="QZ18" s="15">
        <f t="shared" si="8"/>
        <v>45504</v>
      </c>
      <c r="RA18" s="15">
        <f t="shared" si="8"/>
        <v>45504</v>
      </c>
      <c r="RB18" s="15">
        <f t="shared" si="8"/>
        <v>45504</v>
      </c>
      <c r="RC18" s="15">
        <f t="shared" ref="RC18:TN18" si="9">EOMONTH(RC20,0)</f>
        <v>45504</v>
      </c>
      <c r="RD18" s="15">
        <f t="shared" si="9"/>
        <v>45504</v>
      </c>
      <c r="RE18" s="15">
        <f t="shared" si="9"/>
        <v>45504</v>
      </c>
      <c r="RF18" s="15">
        <f t="shared" si="9"/>
        <v>45504</v>
      </c>
      <c r="RG18" s="15">
        <f t="shared" si="9"/>
        <v>45504</v>
      </c>
      <c r="RH18" s="15">
        <f t="shared" si="9"/>
        <v>45504</v>
      </c>
      <c r="RI18" s="15">
        <f t="shared" si="9"/>
        <v>45504</v>
      </c>
      <c r="RJ18" s="15">
        <f t="shared" si="9"/>
        <v>45504</v>
      </c>
      <c r="RK18" s="15">
        <f t="shared" si="9"/>
        <v>45504</v>
      </c>
      <c r="RL18" s="15">
        <f t="shared" si="9"/>
        <v>45504</v>
      </c>
      <c r="RM18" s="15">
        <f t="shared" si="9"/>
        <v>45504</v>
      </c>
      <c r="RN18" s="15">
        <f t="shared" si="9"/>
        <v>45504</v>
      </c>
      <c r="RO18" s="15">
        <f t="shared" si="9"/>
        <v>45504</v>
      </c>
      <c r="RP18" s="15">
        <f t="shared" si="9"/>
        <v>45504</v>
      </c>
      <c r="RQ18" s="15">
        <f t="shared" si="9"/>
        <v>45504</v>
      </c>
      <c r="RR18" s="15">
        <f t="shared" si="9"/>
        <v>45504</v>
      </c>
      <c r="RS18" s="15">
        <f t="shared" si="9"/>
        <v>45504</v>
      </c>
      <c r="RT18" s="15">
        <f t="shared" si="9"/>
        <v>45504</v>
      </c>
      <c r="RU18" s="15">
        <f t="shared" si="9"/>
        <v>45535</v>
      </c>
      <c r="RV18" s="15">
        <f t="shared" si="9"/>
        <v>45535</v>
      </c>
      <c r="RW18" s="15">
        <f t="shared" si="9"/>
        <v>45535</v>
      </c>
      <c r="RX18" s="15">
        <f t="shared" si="9"/>
        <v>45535</v>
      </c>
      <c r="RY18" s="15">
        <f t="shared" si="9"/>
        <v>45535</v>
      </c>
      <c r="RZ18" s="15">
        <f t="shared" si="9"/>
        <v>45535</v>
      </c>
      <c r="SA18" s="15">
        <f t="shared" si="9"/>
        <v>45535</v>
      </c>
      <c r="SB18" s="15">
        <f t="shared" si="9"/>
        <v>45535</v>
      </c>
      <c r="SC18" s="15">
        <f t="shared" si="9"/>
        <v>45535</v>
      </c>
      <c r="SD18" s="15">
        <f t="shared" si="9"/>
        <v>45535</v>
      </c>
      <c r="SE18" s="15">
        <f t="shared" si="9"/>
        <v>45535</v>
      </c>
      <c r="SF18" s="15">
        <f t="shared" si="9"/>
        <v>45535</v>
      </c>
      <c r="SG18" s="15">
        <f t="shared" si="9"/>
        <v>45535</v>
      </c>
      <c r="SH18" s="15">
        <f t="shared" si="9"/>
        <v>45535</v>
      </c>
      <c r="SI18" s="15">
        <f t="shared" si="9"/>
        <v>45535</v>
      </c>
      <c r="SJ18" s="15">
        <f t="shared" si="9"/>
        <v>45535</v>
      </c>
      <c r="SK18" s="15">
        <f t="shared" si="9"/>
        <v>45535</v>
      </c>
      <c r="SL18" s="15">
        <f t="shared" si="9"/>
        <v>45535</v>
      </c>
      <c r="SM18" s="15">
        <f t="shared" si="9"/>
        <v>45535</v>
      </c>
      <c r="SN18" s="15">
        <f t="shared" si="9"/>
        <v>45535</v>
      </c>
      <c r="SO18" s="15">
        <f t="shared" si="9"/>
        <v>45535</v>
      </c>
      <c r="SP18" s="15">
        <f t="shared" si="9"/>
        <v>45535</v>
      </c>
      <c r="SQ18" s="15">
        <f t="shared" si="9"/>
        <v>45535</v>
      </c>
      <c r="SR18" s="15">
        <f t="shared" si="9"/>
        <v>45535</v>
      </c>
      <c r="SS18" s="15">
        <f t="shared" si="9"/>
        <v>45535</v>
      </c>
      <c r="ST18" s="15">
        <f t="shared" si="9"/>
        <v>45535</v>
      </c>
      <c r="SU18" s="15">
        <f t="shared" si="9"/>
        <v>45535</v>
      </c>
      <c r="SV18" s="15">
        <f t="shared" si="9"/>
        <v>45535</v>
      </c>
      <c r="SW18" s="15">
        <f t="shared" si="9"/>
        <v>45535</v>
      </c>
      <c r="SX18" s="15">
        <f t="shared" si="9"/>
        <v>45535</v>
      </c>
      <c r="SY18" s="15">
        <f t="shared" si="9"/>
        <v>45535</v>
      </c>
      <c r="SZ18" s="15">
        <f t="shared" si="9"/>
        <v>45565</v>
      </c>
      <c r="TA18" s="15">
        <f t="shared" si="9"/>
        <v>45565</v>
      </c>
      <c r="TB18" s="15">
        <f t="shared" si="9"/>
        <v>45565</v>
      </c>
      <c r="TC18" s="15">
        <f t="shared" si="9"/>
        <v>45565</v>
      </c>
      <c r="TD18" s="15">
        <f t="shared" si="9"/>
        <v>45565</v>
      </c>
      <c r="TE18" s="15">
        <f t="shared" si="9"/>
        <v>45565</v>
      </c>
      <c r="TF18" s="15">
        <f t="shared" si="9"/>
        <v>45565</v>
      </c>
      <c r="TG18" s="15">
        <f t="shared" si="9"/>
        <v>45565</v>
      </c>
      <c r="TH18" s="15">
        <f t="shared" si="9"/>
        <v>45565</v>
      </c>
      <c r="TI18" s="15">
        <f t="shared" si="9"/>
        <v>45565</v>
      </c>
      <c r="TJ18" s="15">
        <f t="shared" si="9"/>
        <v>45565</v>
      </c>
      <c r="TK18" s="15">
        <f t="shared" si="9"/>
        <v>45565</v>
      </c>
      <c r="TL18" s="15">
        <f t="shared" si="9"/>
        <v>45565</v>
      </c>
      <c r="TM18" s="15">
        <f t="shared" si="9"/>
        <v>45565</v>
      </c>
      <c r="TN18" s="15">
        <f t="shared" si="9"/>
        <v>45565</v>
      </c>
      <c r="TO18" s="15">
        <f t="shared" ref="TO18:VH18" si="10">EOMONTH(TO20,0)</f>
        <v>45565</v>
      </c>
      <c r="TP18" s="15">
        <f t="shared" si="10"/>
        <v>45565</v>
      </c>
      <c r="TQ18" s="15">
        <f t="shared" si="10"/>
        <v>45565</v>
      </c>
      <c r="TR18" s="15">
        <f t="shared" si="10"/>
        <v>45565</v>
      </c>
      <c r="TS18" s="15">
        <f t="shared" si="10"/>
        <v>45565</v>
      </c>
      <c r="TT18" s="15">
        <f t="shared" si="10"/>
        <v>45565</v>
      </c>
      <c r="TU18" s="15">
        <f t="shared" si="10"/>
        <v>45565</v>
      </c>
      <c r="TV18" s="15">
        <f t="shared" si="10"/>
        <v>45565</v>
      </c>
      <c r="TW18" s="15">
        <f t="shared" si="10"/>
        <v>45565</v>
      </c>
      <c r="TX18" s="15">
        <f t="shared" si="10"/>
        <v>45565</v>
      </c>
      <c r="TY18" s="15">
        <f t="shared" si="10"/>
        <v>45565</v>
      </c>
      <c r="TZ18" s="15">
        <f t="shared" si="10"/>
        <v>45565</v>
      </c>
      <c r="UA18" s="15">
        <f t="shared" si="10"/>
        <v>45565</v>
      </c>
      <c r="UB18" s="15">
        <f t="shared" si="10"/>
        <v>45565</v>
      </c>
      <c r="UC18" s="15">
        <f t="shared" si="10"/>
        <v>45565</v>
      </c>
      <c r="UD18" s="15">
        <f t="shared" si="10"/>
        <v>45596</v>
      </c>
      <c r="UE18" s="15">
        <f t="shared" si="10"/>
        <v>45596</v>
      </c>
      <c r="UF18" s="15">
        <f t="shared" si="10"/>
        <v>45596</v>
      </c>
      <c r="UG18" s="15">
        <f t="shared" si="10"/>
        <v>45596</v>
      </c>
      <c r="UH18" s="15">
        <f t="shared" si="10"/>
        <v>45596</v>
      </c>
      <c r="UI18" s="15">
        <f t="shared" si="10"/>
        <v>45596</v>
      </c>
      <c r="UJ18" s="15">
        <f t="shared" si="10"/>
        <v>45596</v>
      </c>
      <c r="UK18" s="15">
        <f t="shared" si="10"/>
        <v>45596</v>
      </c>
      <c r="UL18" s="15">
        <f t="shared" si="10"/>
        <v>45596</v>
      </c>
      <c r="UM18" s="15">
        <f t="shared" si="10"/>
        <v>45596</v>
      </c>
      <c r="UN18" s="15">
        <f t="shared" si="10"/>
        <v>45596</v>
      </c>
      <c r="UO18" s="15">
        <f t="shared" si="10"/>
        <v>45596</v>
      </c>
      <c r="UP18" s="15">
        <f t="shared" si="10"/>
        <v>45596</v>
      </c>
      <c r="UQ18" s="15">
        <f t="shared" si="10"/>
        <v>45596</v>
      </c>
      <c r="UR18" s="15">
        <f t="shared" si="10"/>
        <v>45596</v>
      </c>
      <c r="US18" s="15">
        <f t="shared" si="10"/>
        <v>45596</v>
      </c>
      <c r="UT18" s="15">
        <f t="shared" si="10"/>
        <v>45596</v>
      </c>
      <c r="UU18" s="15">
        <f t="shared" si="10"/>
        <v>45596</v>
      </c>
      <c r="UV18" s="15">
        <f t="shared" si="10"/>
        <v>45596</v>
      </c>
      <c r="UW18" s="15">
        <f t="shared" si="10"/>
        <v>45596</v>
      </c>
      <c r="UX18" s="15">
        <f t="shared" si="10"/>
        <v>45596</v>
      </c>
      <c r="UY18" s="15">
        <f t="shared" si="10"/>
        <v>45596</v>
      </c>
      <c r="UZ18" s="15">
        <f t="shared" si="10"/>
        <v>45596</v>
      </c>
      <c r="VA18" s="15">
        <f t="shared" si="10"/>
        <v>45596</v>
      </c>
      <c r="VB18" s="15">
        <f t="shared" si="10"/>
        <v>45596</v>
      </c>
      <c r="VC18" s="15">
        <f t="shared" si="10"/>
        <v>45596</v>
      </c>
      <c r="VD18" s="15">
        <f t="shared" si="10"/>
        <v>45596</v>
      </c>
      <c r="VE18" s="15">
        <f t="shared" si="10"/>
        <v>45596</v>
      </c>
      <c r="VF18" s="15">
        <f t="shared" si="10"/>
        <v>45596</v>
      </c>
      <c r="VG18" s="15">
        <f t="shared" si="10"/>
        <v>45596</v>
      </c>
      <c r="VH18" s="15">
        <f t="shared" si="10"/>
        <v>45596</v>
      </c>
      <c r="VI18" s="15">
        <f t="shared" ref="VI18:XQ18" si="11">EOMONTH(VI20,0)</f>
        <v>45626</v>
      </c>
      <c r="VJ18" s="15">
        <f t="shared" si="11"/>
        <v>45626</v>
      </c>
      <c r="VK18" s="15">
        <f t="shared" si="11"/>
        <v>45626</v>
      </c>
      <c r="VL18" s="15">
        <f t="shared" si="11"/>
        <v>45626</v>
      </c>
      <c r="VM18" s="15">
        <f t="shared" si="11"/>
        <v>45626</v>
      </c>
      <c r="VN18" s="15">
        <f t="shared" si="11"/>
        <v>45626</v>
      </c>
      <c r="VO18" s="15">
        <f t="shared" si="11"/>
        <v>45626</v>
      </c>
      <c r="VP18" s="15">
        <f t="shared" si="11"/>
        <v>45626</v>
      </c>
      <c r="VQ18" s="15">
        <f t="shared" si="11"/>
        <v>45626</v>
      </c>
      <c r="VR18" s="15">
        <f t="shared" si="11"/>
        <v>45626</v>
      </c>
      <c r="VS18" s="15">
        <f t="shared" si="11"/>
        <v>45626</v>
      </c>
      <c r="VT18" s="15">
        <f t="shared" si="11"/>
        <v>45626</v>
      </c>
      <c r="VU18" s="15">
        <f t="shared" si="11"/>
        <v>45626</v>
      </c>
      <c r="VV18" s="15">
        <f t="shared" si="11"/>
        <v>45626</v>
      </c>
      <c r="VW18" s="15">
        <f t="shared" si="11"/>
        <v>45626</v>
      </c>
      <c r="VX18" s="15">
        <f t="shared" si="11"/>
        <v>45626</v>
      </c>
      <c r="VY18" s="15">
        <f t="shared" si="11"/>
        <v>45626</v>
      </c>
      <c r="VZ18" s="15">
        <f t="shared" si="11"/>
        <v>45626</v>
      </c>
      <c r="WA18" s="15">
        <f t="shared" si="11"/>
        <v>45626</v>
      </c>
      <c r="WB18" s="15">
        <f t="shared" si="11"/>
        <v>45626</v>
      </c>
      <c r="WC18" s="15">
        <f t="shared" si="11"/>
        <v>45626</v>
      </c>
      <c r="WD18" s="15">
        <f t="shared" si="11"/>
        <v>45626</v>
      </c>
      <c r="WE18" s="15">
        <f t="shared" si="11"/>
        <v>45626</v>
      </c>
      <c r="WF18" s="15">
        <f t="shared" si="11"/>
        <v>45626</v>
      </c>
      <c r="WG18" s="15">
        <f t="shared" si="11"/>
        <v>45626</v>
      </c>
      <c r="WH18" s="15">
        <f t="shared" si="11"/>
        <v>45626</v>
      </c>
      <c r="WI18" s="15">
        <f t="shared" si="11"/>
        <v>45626</v>
      </c>
      <c r="WJ18" s="15">
        <f t="shared" si="11"/>
        <v>45626</v>
      </c>
      <c r="WK18" s="15">
        <f t="shared" si="11"/>
        <v>45626</v>
      </c>
      <c r="WL18" s="15">
        <f t="shared" si="11"/>
        <v>45626</v>
      </c>
      <c r="WM18" s="15">
        <f t="shared" si="11"/>
        <v>45657</v>
      </c>
      <c r="WN18" s="15">
        <f t="shared" si="11"/>
        <v>45657</v>
      </c>
      <c r="WO18" s="15">
        <f t="shared" si="11"/>
        <v>45657</v>
      </c>
      <c r="WP18" s="15">
        <f t="shared" si="11"/>
        <v>45657</v>
      </c>
      <c r="WQ18" s="15">
        <f t="shared" si="11"/>
        <v>45657</v>
      </c>
      <c r="WR18" s="15">
        <f t="shared" si="11"/>
        <v>45657</v>
      </c>
      <c r="WS18" s="15">
        <f t="shared" si="11"/>
        <v>45657</v>
      </c>
      <c r="WT18" s="15">
        <f t="shared" si="11"/>
        <v>45657</v>
      </c>
      <c r="WU18" s="15">
        <f t="shared" si="11"/>
        <v>45657</v>
      </c>
      <c r="WV18" s="15">
        <f t="shared" si="11"/>
        <v>45657</v>
      </c>
      <c r="WW18" s="15">
        <f t="shared" si="11"/>
        <v>45657</v>
      </c>
      <c r="WX18" s="15">
        <f t="shared" si="11"/>
        <v>45657</v>
      </c>
      <c r="WY18" s="15">
        <f t="shared" si="11"/>
        <v>45657</v>
      </c>
      <c r="WZ18" s="15">
        <f t="shared" si="11"/>
        <v>45657</v>
      </c>
      <c r="XA18" s="15">
        <f t="shared" si="11"/>
        <v>45657</v>
      </c>
      <c r="XB18" s="15">
        <f t="shared" si="11"/>
        <v>45657</v>
      </c>
      <c r="XC18" s="15">
        <f t="shared" si="11"/>
        <v>45657</v>
      </c>
      <c r="XD18" s="15">
        <f t="shared" si="11"/>
        <v>45657</v>
      </c>
      <c r="XE18" s="15">
        <f t="shared" si="11"/>
        <v>45657</v>
      </c>
      <c r="XF18" s="15">
        <f t="shared" si="11"/>
        <v>45657</v>
      </c>
      <c r="XG18" s="15">
        <f t="shared" si="11"/>
        <v>45657</v>
      </c>
      <c r="XH18" s="15">
        <f t="shared" si="11"/>
        <v>45657</v>
      </c>
      <c r="XI18" s="15">
        <f t="shared" si="11"/>
        <v>45657</v>
      </c>
      <c r="XJ18" s="15">
        <f t="shared" si="11"/>
        <v>45657</v>
      </c>
      <c r="XK18" s="15">
        <f t="shared" si="11"/>
        <v>45657</v>
      </c>
      <c r="XL18" s="15">
        <f t="shared" si="11"/>
        <v>45657</v>
      </c>
      <c r="XM18" s="15">
        <f t="shared" si="11"/>
        <v>45657</v>
      </c>
      <c r="XN18" s="15">
        <f t="shared" si="11"/>
        <v>45657</v>
      </c>
      <c r="XO18" s="15">
        <f t="shared" si="11"/>
        <v>45657</v>
      </c>
      <c r="XP18" s="15">
        <f t="shared" si="11"/>
        <v>45657</v>
      </c>
      <c r="XQ18" s="15">
        <f t="shared" si="11"/>
        <v>45657</v>
      </c>
    </row>
    <row r="19" spans="2:641" x14ac:dyDescent="0.3">
      <c r="B19" t="s">
        <v>99</v>
      </c>
      <c r="C19" s="24" t="s">
        <v>92</v>
      </c>
      <c r="D19" s="24" t="s">
        <v>93</v>
      </c>
      <c r="E19" s="24" t="s">
        <v>94</v>
      </c>
      <c r="F19" s="24" t="s">
        <v>95</v>
      </c>
      <c r="G19" s="24" t="s">
        <v>96</v>
      </c>
      <c r="H19" s="24" t="s">
        <v>97</v>
      </c>
      <c r="I19" s="24" t="s">
        <v>98</v>
      </c>
      <c r="J19" s="24" t="s">
        <v>92</v>
      </c>
      <c r="K19" s="24" t="s">
        <v>93</v>
      </c>
      <c r="L19" s="24" t="s">
        <v>94</v>
      </c>
      <c r="M19" s="24" t="s">
        <v>95</v>
      </c>
      <c r="N19" s="24" t="s">
        <v>96</v>
      </c>
      <c r="O19" s="24" t="s">
        <v>97</v>
      </c>
      <c r="P19" s="24" t="s">
        <v>98</v>
      </c>
      <c r="Q19" s="24" t="s">
        <v>92</v>
      </c>
      <c r="R19" s="24" t="s">
        <v>93</v>
      </c>
      <c r="S19" s="24" t="s">
        <v>94</v>
      </c>
      <c r="T19" s="24" t="s">
        <v>95</v>
      </c>
      <c r="U19" s="24" t="s">
        <v>96</v>
      </c>
      <c r="V19" s="24" t="s">
        <v>97</v>
      </c>
      <c r="W19" s="24" t="s">
        <v>98</v>
      </c>
      <c r="X19" s="24" t="s">
        <v>92</v>
      </c>
      <c r="Y19" s="24" t="s">
        <v>93</v>
      </c>
      <c r="Z19" s="24" t="s">
        <v>94</v>
      </c>
      <c r="AA19" s="24" t="s">
        <v>95</v>
      </c>
      <c r="AB19" s="24" t="s">
        <v>96</v>
      </c>
      <c r="AC19" s="24" t="s">
        <v>97</v>
      </c>
      <c r="AD19" s="24" t="s">
        <v>98</v>
      </c>
      <c r="AE19" s="24" t="s">
        <v>92</v>
      </c>
      <c r="AF19" s="24" t="s">
        <v>93</v>
      </c>
      <c r="AG19" s="24" t="s">
        <v>94</v>
      </c>
      <c r="AH19" s="24" t="s">
        <v>95</v>
      </c>
      <c r="AI19" s="24" t="s">
        <v>96</v>
      </c>
      <c r="AJ19" s="24" t="s">
        <v>97</v>
      </c>
      <c r="AK19" s="24" t="s">
        <v>98</v>
      </c>
      <c r="AL19" s="24" t="s">
        <v>92</v>
      </c>
      <c r="AM19" s="24" t="s">
        <v>93</v>
      </c>
      <c r="AN19" s="24" t="s">
        <v>94</v>
      </c>
      <c r="AO19" s="24" t="s">
        <v>95</v>
      </c>
      <c r="AP19" s="24" t="s">
        <v>96</v>
      </c>
      <c r="AQ19" s="24" t="s">
        <v>97</v>
      </c>
      <c r="AR19" s="24" t="s">
        <v>98</v>
      </c>
      <c r="AS19" s="24" t="s">
        <v>92</v>
      </c>
      <c r="AT19" s="24" t="s">
        <v>93</v>
      </c>
      <c r="AU19" s="24" t="s">
        <v>94</v>
      </c>
      <c r="AV19" s="24" t="s">
        <v>95</v>
      </c>
      <c r="AW19" s="24" t="s">
        <v>96</v>
      </c>
      <c r="AX19" s="24" t="s">
        <v>97</v>
      </c>
      <c r="AY19" s="24" t="s">
        <v>98</v>
      </c>
      <c r="AZ19" s="24" t="s">
        <v>92</v>
      </c>
      <c r="BA19" s="24" t="s">
        <v>93</v>
      </c>
      <c r="BB19" s="24" t="s">
        <v>94</v>
      </c>
      <c r="BC19" s="24" t="s">
        <v>95</v>
      </c>
      <c r="BD19" s="24" t="s">
        <v>96</v>
      </c>
      <c r="BE19" s="24" t="s">
        <v>97</v>
      </c>
      <c r="BF19" s="24" t="s">
        <v>98</v>
      </c>
      <c r="BG19" s="24" t="s">
        <v>92</v>
      </c>
      <c r="BH19" s="24" t="s">
        <v>93</v>
      </c>
      <c r="BI19" s="24" t="s">
        <v>94</v>
      </c>
      <c r="BJ19" s="24" t="s">
        <v>95</v>
      </c>
      <c r="BK19" s="24" t="s">
        <v>96</v>
      </c>
      <c r="BL19" s="24" t="s">
        <v>97</v>
      </c>
      <c r="BM19" s="24" t="s">
        <v>98</v>
      </c>
      <c r="BN19" s="24" t="s">
        <v>92</v>
      </c>
      <c r="BO19" s="24" t="s">
        <v>93</v>
      </c>
      <c r="BP19" s="24" t="s">
        <v>94</v>
      </c>
      <c r="BQ19" s="24" t="s">
        <v>95</v>
      </c>
      <c r="BR19" s="24" t="s">
        <v>96</v>
      </c>
      <c r="BS19" s="24" t="s">
        <v>97</v>
      </c>
      <c r="BT19" s="24" t="s">
        <v>98</v>
      </c>
      <c r="BU19" s="24" t="s">
        <v>92</v>
      </c>
      <c r="BV19" s="24" t="s">
        <v>93</v>
      </c>
      <c r="BW19" s="24" t="s">
        <v>94</v>
      </c>
      <c r="BX19" s="24" t="s">
        <v>95</v>
      </c>
      <c r="BY19" s="24" t="s">
        <v>96</v>
      </c>
      <c r="BZ19" s="24" t="s">
        <v>97</v>
      </c>
      <c r="CA19" s="24" t="s">
        <v>98</v>
      </c>
      <c r="CB19" s="24" t="s">
        <v>92</v>
      </c>
      <c r="CC19" s="24" t="s">
        <v>93</v>
      </c>
      <c r="CD19" s="24" t="s">
        <v>94</v>
      </c>
      <c r="CE19" s="24" t="s">
        <v>95</v>
      </c>
      <c r="CF19" s="24" t="s">
        <v>96</v>
      </c>
      <c r="CG19" s="24" t="s">
        <v>97</v>
      </c>
      <c r="CH19" s="24" t="s">
        <v>98</v>
      </c>
      <c r="CI19" s="24" t="s">
        <v>92</v>
      </c>
      <c r="CJ19" s="24" t="s">
        <v>93</v>
      </c>
      <c r="CK19" s="24" t="s">
        <v>94</v>
      </c>
      <c r="CL19" s="24" t="s">
        <v>95</v>
      </c>
      <c r="CM19" s="24" t="s">
        <v>96</v>
      </c>
      <c r="CN19" s="24" t="s">
        <v>97</v>
      </c>
      <c r="CO19" s="24" t="s">
        <v>98</v>
      </c>
      <c r="CP19" s="24" t="s">
        <v>92</v>
      </c>
      <c r="CQ19" s="24" t="s">
        <v>93</v>
      </c>
      <c r="CR19" s="24" t="s">
        <v>94</v>
      </c>
      <c r="CS19" s="24" t="s">
        <v>95</v>
      </c>
      <c r="CT19" s="24" t="s">
        <v>96</v>
      </c>
      <c r="CU19" s="24" t="s">
        <v>97</v>
      </c>
      <c r="CV19" s="24" t="s">
        <v>98</v>
      </c>
      <c r="CW19" s="24" t="s">
        <v>92</v>
      </c>
      <c r="CX19" s="24" t="s">
        <v>93</v>
      </c>
      <c r="CY19" s="24" t="s">
        <v>94</v>
      </c>
      <c r="CZ19" s="24" t="s">
        <v>95</v>
      </c>
      <c r="DA19" s="24" t="s">
        <v>96</v>
      </c>
      <c r="DB19" s="24" t="s">
        <v>97</v>
      </c>
      <c r="DC19" s="24" t="s">
        <v>98</v>
      </c>
      <c r="DD19" s="24" t="s">
        <v>92</v>
      </c>
      <c r="DE19" s="24" t="s">
        <v>93</v>
      </c>
      <c r="DF19" s="24" t="s">
        <v>94</v>
      </c>
      <c r="DG19" s="24" t="s">
        <v>95</v>
      </c>
      <c r="DH19" s="24" t="s">
        <v>96</v>
      </c>
      <c r="DI19" s="24" t="s">
        <v>97</v>
      </c>
      <c r="DJ19" s="24" t="s">
        <v>98</v>
      </c>
      <c r="DK19" s="24" t="s">
        <v>92</v>
      </c>
      <c r="DL19" s="24" t="s">
        <v>93</v>
      </c>
      <c r="DM19" s="24" t="s">
        <v>94</v>
      </c>
      <c r="DN19" s="24" t="s">
        <v>95</v>
      </c>
      <c r="DO19" s="24" t="s">
        <v>96</v>
      </c>
      <c r="DP19" s="24" t="s">
        <v>97</v>
      </c>
      <c r="DQ19" s="24" t="s">
        <v>98</v>
      </c>
      <c r="DR19" s="24" t="s">
        <v>92</v>
      </c>
      <c r="DS19" s="24" t="s">
        <v>93</v>
      </c>
      <c r="DT19" s="24" t="s">
        <v>94</v>
      </c>
      <c r="DU19" s="24" t="s">
        <v>95</v>
      </c>
      <c r="DV19" s="24" t="s">
        <v>96</v>
      </c>
      <c r="DW19" s="24" t="s">
        <v>97</v>
      </c>
      <c r="DX19" s="24" t="s">
        <v>98</v>
      </c>
      <c r="DY19" s="24" t="s">
        <v>92</v>
      </c>
      <c r="DZ19" s="24" t="s">
        <v>93</v>
      </c>
      <c r="EA19" s="24" t="s">
        <v>94</v>
      </c>
      <c r="EB19" s="24" t="s">
        <v>95</v>
      </c>
      <c r="EC19" s="24" t="s">
        <v>96</v>
      </c>
      <c r="ED19" s="24" t="s">
        <v>97</v>
      </c>
      <c r="EE19" s="24" t="s">
        <v>98</v>
      </c>
      <c r="EF19" s="24" t="s">
        <v>92</v>
      </c>
      <c r="EG19" s="24" t="s">
        <v>93</v>
      </c>
      <c r="EH19" s="24" t="s">
        <v>94</v>
      </c>
      <c r="EI19" s="24" t="s">
        <v>95</v>
      </c>
      <c r="EJ19" s="24" t="s">
        <v>96</v>
      </c>
      <c r="EK19" s="24" t="s">
        <v>97</v>
      </c>
      <c r="EL19" s="24" t="s">
        <v>98</v>
      </c>
      <c r="EM19" s="24" t="s">
        <v>92</v>
      </c>
      <c r="EN19" s="24" t="s">
        <v>93</v>
      </c>
      <c r="EO19" s="24" t="s">
        <v>94</v>
      </c>
      <c r="EP19" s="24" t="s">
        <v>95</v>
      </c>
      <c r="EQ19" s="24" t="s">
        <v>96</v>
      </c>
      <c r="ER19" s="24" t="s">
        <v>97</v>
      </c>
      <c r="ES19" s="24" t="s">
        <v>98</v>
      </c>
      <c r="ET19" s="24" t="s">
        <v>92</v>
      </c>
      <c r="EU19" s="24" t="s">
        <v>93</v>
      </c>
      <c r="EV19" s="24" t="s">
        <v>94</v>
      </c>
      <c r="EW19" s="24" t="s">
        <v>95</v>
      </c>
      <c r="EX19" s="24" t="s">
        <v>96</v>
      </c>
      <c r="EY19" s="24" t="s">
        <v>97</v>
      </c>
      <c r="EZ19" s="24" t="s">
        <v>98</v>
      </c>
      <c r="FA19" s="24" t="s">
        <v>92</v>
      </c>
      <c r="FB19" s="24" t="s">
        <v>93</v>
      </c>
      <c r="FC19" s="24" t="s">
        <v>94</v>
      </c>
      <c r="FD19" s="24" t="s">
        <v>95</v>
      </c>
      <c r="FE19" s="24" t="s">
        <v>96</v>
      </c>
      <c r="FF19" s="24" t="s">
        <v>97</v>
      </c>
      <c r="FG19" s="24" t="s">
        <v>98</v>
      </c>
      <c r="FH19" s="24" t="s">
        <v>92</v>
      </c>
      <c r="FI19" s="24" t="s">
        <v>93</v>
      </c>
      <c r="FJ19" s="24" t="s">
        <v>94</v>
      </c>
      <c r="FK19" s="24" t="s">
        <v>95</v>
      </c>
      <c r="FL19" s="24" t="s">
        <v>96</v>
      </c>
      <c r="FM19" s="24" t="s">
        <v>97</v>
      </c>
      <c r="FN19" s="24" t="s">
        <v>98</v>
      </c>
      <c r="FO19" s="24" t="s">
        <v>92</v>
      </c>
      <c r="FP19" s="24" t="s">
        <v>93</v>
      </c>
      <c r="FQ19" s="24" t="s">
        <v>94</v>
      </c>
      <c r="FR19" s="24" t="s">
        <v>95</v>
      </c>
      <c r="FS19" s="24" t="s">
        <v>96</v>
      </c>
      <c r="FT19" s="24" t="s">
        <v>97</v>
      </c>
      <c r="FU19" s="24" t="s">
        <v>98</v>
      </c>
      <c r="FV19" s="24" t="s">
        <v>92</v>
      </c>
      <c r="FW19" s="24" t="s">
        <v>93</v>
      </c>
      <c r="FX19" s="24" t="s">
        <v>94</v>
      </c>
      <c r="FY19" s="24" t="s">
        <v>95</v>
      </c>
      <c r="FZ19" s="24" t="s">
        <v>96</v>
      </c>
      <c r="GA19" s="24" t="s">
        <v>97</v>
      </c>
      <c r="GB19" s="24" t="s">
        <v>98</v>
      </c>
      <c r="GC19" s="24" t="s">
        <v>92</v>
      </c>
      <c r="GD19" s="24" t="s">
        <v>93</v>
      </c>
      <c r="GE19" s="24" t="s">
        <v>94</v>
      </c>
      <c r="GF19" s="24" t="s">
        <v>95</v>
      </c>
      <c r="GG19" s="24" t="s">
        <v>96</v>
      </c>
      <c r="GH19" s="24" t="s">
        <v>97</v>
      </c>
      <c r="GI19" s="24" t="s">
        <v>98</v>
      </c>
      <c r="GJ19" s="24" t="s">
        <v>92</v>
      </c>
      <c r="GK19" s="24" t="s">
        <v>93</v>
      </c>
      <c r="GL19" s="24" t="s">
        <v>94</v>
      </c>
      <c r="GM19" s="24" t="s">
        <v>95</v>
      </c>
      <c r="GN19" s="24" t="s">
        <v>96</v>
      </c>
      <c r="GO19" s="24" t="s">
        <v>97</v>
      </c>
      <c r="GP19" s="24" t="s">
        <v>98</v>
      </c>
      <c r="GQ19" s="24" t="s">
        <v>92</v>
      </c>
      <c r="GR19" s="24" t="s">
        <v>93</v>
      </c>
      <c r="GS19" s="24" t="s">
        <v>94</v>
      </c>
      <c r="GT19" s="24" t="s">
        <v>95</v>
      </c>
      <c r="GU19" s="24" t="s">
        <v>96</v>
      </c>
      <c r="GV19" s="24" t="s">
        <v>97</v>
      </c>
      <c r="GW19" s="24" t="s">
        <v>98</v>
      </c>
      <c r="GX19" s="24" t="s">
        <v>92</v>
      </c>
      <c r="GY19" s="24" t="s">
        <v>93</v>
      </c>
      <c r="GZ19" s="24" t="s">
        <v>94</v>
      </c>
      <c r="HA19" s="24" t="s">
        <v>95</v>
      </c>
      <c r="HB19" s="24" t="s">
        <v>96</v>
      </c>
      <c r="HC19" s="24" t="s">
        <v>97</v>
      </c>
      <c r="HD19" s="24" t="s">
        <v>98</v>
      </c>
      <c r="HE19" s="24" t="s">
        <v>92</v>
      </c>
      <c r="HF19" s="24" t="s">
        <v>93</v>
      </c>
      <c r="HG19" s="24" t="s">
        <v>94</v>
      </c>
      <c r="HH19" s="24" t="s">
        <v>95</v>
      </c>
      <c r="HI19" s="24" t="s">
        <v>96</v>
      </c>
      <c r="HJ19" s="24" t="s">
        <v>97</v>
      </c>
      <c r="HK19" s="24" t="s">
        <v>98</v>
      </c>
      <c r="HL19" s="24" t="s">
        <v>92</v>
      </c>
      <c r="HM19" s="24" t="s">
        <v>93</v>
      </c>
      <c r="HN19" s="24" t="s">
        <v>94</v>
      </c>
      <c r="HO19" s="24" t="s">
        <v>95</v>
      </c>
      <c r="HP19" s="24" t="s">
        <v>96</v>
      </c>
      <c r="HQ19" s="24" t="s">
        <v>97</v>
      </c>
      <c r="HR19" s="24" t="s">
        <v>98</v>
      </c>
      <c r="HS19" s="24" t="s">
        <v>92</v>
      </c>
      <c r="HT19" s="24" t="s">
        <v>93</v>
      </c>
      <c r="HU19" s="24" t="s">
        <v>94</v>
      </c>
      <c r="HV19" s="24" t="s">
        <v>95</v>
      </c>
      <c r="HW19" s="24" t="s">
        <v>96</v>
      </c>
      <c r="HX19" s="24" t="s">
        <v>97</v>
      </c>
      <c r="HY19" s="24" t="s">
        <v>98</v>
      </c>
      <c r="HZ19" s="24" t="s">
        <v>92</v>
      </c>
      <c r="IA19" s="24" t="s">
        <v>93</v>
      </c>
      <c r="IB19" s="24" t="s">
        <v>94</v>
      </c>
      <c r="IC19" s="24" t="s">
        <v>95</v>
      </c>
      <c r="ID19" s="24" t="s">
        <v>96</v>
      </c>
      <c r="IE19" s="24" t="s">
        <v>97</v>
      </c>
      <c r="IF19" s="24" t="s">
        <v>98</v>
      </c>
      <c r="IG19" s="24" t="s">
        <v>92</v>
      </c>
      <c r="IH19" s="24" t="s">
        <v>93</v>
      </c>
      <c r="II19" s="24" t="s">
        <v>94</v>
      </c>
      <c r="IJ19" s="24" t="s">
        <v>95</v>
      </c>
      <c r="IK19" s="24" t="s">
        <v>96</v>
      </c>
      <c r="IL19" s="24" t="s">
        <v>97</v>
      </c>
      <c r="IM19" s="24" t="s">
        <v>98</v>
      </c>
      <c r="IN19" s="24" t="s">
        <v>92</v>
      </c>
      <c r="IO19" s="24" t="s">
        <v>93</v>
      </c>
      <c r="IP19" s="24" t="s">
        <v>94</v>
      </c>
      <c r="IQ19" s="24" t="s">
        <v>95</v>
      </c>
      <c r="IR19" s="24" t="s">
        <v>96</v>
      </c>
      <c r="IS19" s="24" t="s">
        <v>97</v>
      </c>
      <c r="IT19" s="24" t="s">
        <v>98</v>
      </c>
      <c r="IU19" s="24" t="s">
        <v>92</v>
      </c>
      <c r="IV19" s="24" t="s">
        <v>93</v>
      </c>
      <c r="IW19" s="24" t="s">
        <v>94</v>
      </c>
      <c r="IX19" s="24" t="s">
        <v>95</v>
      </c>
      <c r="IY19" s="24" t="s">
        <v>96</v>
      </c>
      <c r="IZ19" s="24" t="s">
        <v>97</v>
      </c>
      <c r="JA19" s="24" t="s">
        <v>98</v>
      </c>
      <c r="JB19" s="24" t="s">
        <v>92</v>
      </c>
      <c r="JC19" s="24" t="s">
        <v>93</v>
      </c>
      <c r="JD19" s="24" t="s">
        <v>94</v>
      </c>
      <c r="JE19" s="24" t="s">
        <v>95</v>
      </c>
      <c r="JF19" s="24" t="s">
        <v>96</v>
      </c>
      <c r="JG19" s="24" t="s">
        <v>97</v>
      </c>
      <c r="JH19" s="24" t="s">
        <v>98</v>
      </c>
      <c r="JI19" s="24" t="s">
        <v>92</v>
      </c>
      <c r="JJ19" s="24" t="s">
        <v>93</v>
      </c>
      <c r="JK19" s="24" t="s">
        <v>94</v>
      </c>
      <c r="JL19" s="24" t="s">
        <v>95</v>
      </c>
      <c r="JM19" s="24" t="s">
        <v>96</v>
      </c>
      <c r="JN19" s="24" t="s">
        <v>97</v>
      </c>
      <c r="JO19" s="24" t="s">
        <v>98</v>
      </c>
      <c r="JP19" s="24" t="s">
        <v>98</v>
      </c>
      <c r="JQ19" s="24" t="s">
        <v>98</v>
      </c>
      <c r="JR19" s="24" t="s">
        <v>98</v>
      </c>
      <c r="JS19" s="24" t="s">
        <v>98</v>
      </c>
      <c r="JT19" s="24" t="s">
        <v>98</v>
      </c>
      <c r="JU19" s="24" t="s">
        <v>98</v>
      </c>
      <c r="JV19" s="24" t="s">
        <v>98</v>
      </c>
      <c r="JW19" s="24" t="s">
        <v>98</v>
      </c>
      <c r="JX19" s="24" t="s">
        <v>98</v>
      </c>
      <c r="JY19" s="24" t="s">
        <v>98</v>
      </c>
      <c r="JZ19" s="24" t="s">
        <v>98</v>
      </c>
      <c r="KA19" s="24" t="s">
        <v>98</v>
      </c>
      <c r="KB19" s="24" t="s">
        <v>98</v>
      </c>
      <c r="KC19" s="24" t="s">
        <v>98</v>
      </c>
      <c r="KD19" s="24" t="s">
        <v>98</v>
      </c>
      <c r="KE19" s="24" t="s">
        <v>98</v>
      </c>
      <c r="KF19" s="24" t="s">
        <v>98</v>
      </c>
      <c r="KG19" s="24" t="s">
        <v>98</v>
      </c>
      <c r="KH19" s="24" t="s">
        <v>98</v>
      </c>
      <c r="KI19" s="24" t="s">
        <v>98</v>
      </c>
      <c r="KJ19" s="24" t="s">
        <v>98</v>
      </c>
      <c r="KK19" s="24" t="s">
        <v>98</v>
      </c>
      <c r="KL19" s="24" t="s">
        <v>98</v>
      </c>
      <c r="KM19" s="24" t="s">
        <v>98</v>
      </c>
      <c r="KN19" s="24" t="s">
        <v>98</v>
      </c>
      <c r="KO19" s="24" t="s">
        <v>98</v>
      </c>
      <c r="KP19" s="24" t="s">
        <v>98</v>
      </c>
      <c r="KQ19" s="24" t="s">
        <v>98</v>
      </c>
      <c r="KR19" s="24" t="s">
        <v>98</v>
      </c>
      <c r="KS19" s="24" t="s">
        <v>98</v>
      </c>
      <c r="KT19" s="24" t="s">
        <v>98</v>
      </c>
      <c r="KU19" s="24" t="s">
        <v>98</v>
      </c>
      <c r="KV19" s="24" t="s">
        <v>98</v>
      </c>
      <c r="KW19" s="24" t="s">
        <v>98</v>
      </c>
      <c r="KX19" s="24" t="s">
        <v>98</v>
      </c>
      <c r="KY19" s="24" t="s">
        <v>98</v>
      </c>
      <c r="KZ19" s="24" t="s">
        <v>98</v>
      </c>
      <c r="LA19" s="24" t="s">
        <v>98</v>
      </c>
      <c r="LB19" s="24" t="s">
        <v>98</v>
      </c>
      <c r="LC19" s="24" t="s">
        <v>98</v>
      </c>
      <c r="LD19" s="24" t="s">
        <v>98</v>
      </c>
      <c r="LE19" s="24" t="s">
        <v>98</v>
      </c>
      <c r="LF19" s="24" t="s">
        <v>98</v>
      </c>
      <c r="LG19" s="24" t="s">
        <v>98</v>
      </c>
      <c r="LH19" s="24" t="s">
        <v>98</v>
      </c>
      <c r="LI19" s="24" t="s">
        <v>98</v>
      </c>
      <c r="LJ19" s="24" t="s">
        <v>98</v>
      </c>
      <c r="LK19" s="24" t="s">
        <v>98</v>
      </c>
      <c r="LL19" s="24" t="s">
        <v>98</v>
      </c>
      <c r="LM19" s="24" t="s">
        <v>98</v>
      </c>
      <c r="LN19" s="24" t="s">
        <v>98</v>
      </c>
      <c r="LO19" s="24" t="s">
        <v>98</v>
      </c>
      <c r="LP19" s="24" t="s">
        <v>98</v>
      </c>
      <c r="LQ19" s="24" t="s">
        <v>98</v>
      </c>
      <c r="LR19" s="24" t="s">
        <v>98</v>
      </c>
      <c r="LS19" s="24" t="s">
        <v>98</v>
      </c>
      <c r="LT19" s="24" t="s">
        <v>98</v>
      </c>
      <c r="LU19" s="24" t="s">
        <v>98</v>
      </c>
      <c r="LV19" s="24" t="s">
        <v>98</v>
      </c>
      <c r="LW19" s="24" t="s">
        <v>98</v>
      </c>
      <c r="LX19" s="24" t="s">
        <v>98</v>
      </c>
      <c r="LY19" s="24" t="s">
        <v>98</v>
      </c>
      <c r="LZ19" s="24" t="s">
        <v>98</v>
      </c>
      <c r="MA19" s="24" t="s">
        <v>98</v>
      </c>
      <c r="MB19" s="24" t="s">
        <v>98</v>
      </c>
      <c r="MC19" s="24" t="s">
        <v>98</v>
      </c>
      <c r="MD19" s="24" t="s">
        <v>98</v>
      </c>
      <c r="ME19" s="24" t="s">
        <v>98</v>
      </c>
      <c r="MF19" s="24" t="s">
        <v>98</v>
      </c>
      <c r="MG19" s="24" t="s">
        <v>98</v>
      </c>
      <c r="MH19" s="24" t="s">
        <v>98</v>
      </c>
      <c r="MI19" s="24" t="s">
        <v>98</v>
      </c>
      <c r="MJ19" s="24" t="s">
        <v>98</v>
      </c>
      <c r="MK19" s="24" t="s">
        <v>98</v>
      </c>
      <c r="ML19" s="24" t="s">
        <v>98</v>
      </c>
      <c r="MM19" s="24" t="s">
        <v>98</v>
      </c>
      <c r="MN19" s="24" t="s">
        <v>98</v>
      </c>
      <c r="MO19" s="24" t="s">
        <v>98</v>
      </c>
      <c r="MP19" s="24" t="s">
        <v>98</v>
      </c>
      <c r="MQ19" s="24" t="s">
        <v>98</v>
      </c>
      <c r="MR19" s="24" t="s">
        <v>98</v>
      </c>
      <c r="MS19" s="24" t="s">
        <v>98</v>
      </c>
      <c r="MT19" s="24" t="s">
        <v>98</v>
      </c>
      <c r="MU19" s="24" t="s">
        <v>98</v>
      </c>
      <c r="MV19" s="24" t="s">
        <v>98</v>
      </c>
      <c r="MW19" s="24" t="s">
        <v>98</v>
      </c>
      <c r="MX19" s="24" t="s">
        <v>98</v>
      </c>
      <c r="MY19" s="24" t="s">
        <v>98</v>
      </c>
      <c r="MZ19" s="24" t="s">
        <v>98</v>
      </c>
      <c r="NA19" s="24" t="s">
        <v>98</v>
      </c>
      <c r="NB19" s="24" t="s">
        <v>98</v>
      </c>
      <c r="NC19" s="24" t="s">
        <v>98</v>
      </c>
      <c r="ND19" s="24" t="s">
        <v>98</v>
      </c>
      <c r="NE19" s="24" t="s">
        <v>98</v>
      </c>
      <c r="NF19" s="24" t="s">
        <v>98</v>
      </c>
      <c r="NG19" s="24" t="s">
        <v>98</v>
      </c>
      <c r="NH19" s="24" t="s">
        <v>98</v>
      </c>
      <c r="NI19" s="24" t="s">
        <v>98</v>
      </c>
      <c r="NJ19" s="24" t="s">
        <v>98</v>
      </c>
      <c r="NK19" s="24" t="s">
        <v>98</v>
      </c>
      <c r="NL19" s="24" t="s">
        <v>98</v>
      </c>
      <c r="NM19" s="24" t="s">
        <v>98</v>
      </c>
      <c r="NN19" s="24" t="s">
        <v>98</v>
      </c>
      <c r="NO19" s="24" t="s">
        <v>98</v>
      </c>
      <c r="NP19" s="24" t="s">
        <v>98</v>
      </c>
      <c r="NQ19" s="24" t="s">
        <v>98</v>
      </c>
      <c r="NR19" s="24" t="s">
        <v>98</v>
      </c>
      <c r="NS19" s="24" t="s">
        <v>98</v>
      </c>
      <c r="NT19" s="24" t="s">
        <v>98</v>
      </c>
      <c r="NU19" s="24" t="s">
        <v>98</v>
      </c>
      <c r="NV19" s="24" t="s">
        <v>98</v>
      </c>
      <c r="NW19" s="24" t="s">
        <v>98</v>
      </c>
      <c r="NX19" s="24" t="s">
        <v>98</v>
      </c>
      <c r="NY19" s="24" t="s">
        <v>98</v>
      </c>
      <c r="NZ19" s="24" t="s">
        <v>98</v>
      </c>
      <c r="OA19" s="24" t="s">
        <v>98</v>
      </c>
      <c r="OB19" s="24" t="s">
        <v>98</v>
      </c>
      <c r="OC19" s="24" t="s">
        <v>98</v>
      </c>
      <c r="OD19" s="24" t="s">
        <v>98</v>
      </c>
      <c r="OE19" s="24" t="s">
        <v>98</v>
      </c>
      <c r="OF19" s="24" t="s">
        <v>98</v>
      </c>
      <c r="OG19" s="24" t="s">
        <v>98</v>
      </c>
      <c r="OH19" s="24" t="s">
        <v>98</v>
      </c>
      <c r="OI19" s="24" t="s">
        <v>98</v>
      </c>
      <c r="OJ19" s="24" t="s">
        <v>98</v>
      </c>
      <c r="OK19" s="24" t="s">
        <v>98</v>
      </c>
      <c r="OL19" s="24" t="s">
        <v>98</v>
      </c>
      <c r="OM19" s="24" t="s">
        <v>98</v>
      </c>
      <c r="ON19" s="24" t="s">
        <v>98</v>
      </c>
      <c r="OO19" s="24" t="s">
        <v>98</v>
      </c>
      <c r="OP19" s="24" t="s">
        <v>98</v>
      </c>
      <c r="OQ19" s="24" t="s">
        <v>98</v>
      </c>
      <c r="OR19" s="24" t="s">
        <v>98</v>
      </c>
      <c r="OS19" s="24" t="s">
        <v>98</v>
      </c>
      <c r="OT19" s="24" t="s">
        <v>98</v>
      </c>
      <c r="OU19" s="24" t="s">
        <v>98</v>
      </c>
      <c r="OV19" s="24" t="s">
        <v>98</v>
      </c>
      <c r="OW19" s="24" t="s">
        <v>98</v>
      </c>
      <c r="OX19" s="24" t="s">
        <v>98</v>
      </c>
      <c r="OY19" s="24" t="s">
        <v>98</v>
      </c>
      <c r="OZ19" s="24" t="s">
        <v>98</v>
      </c>
      <c r="PA19" s="24" t="s">
        <v>98</v>
      </c>
      <c r="PB19" s="24" t="s">
        <v>98</v>
      </c>
      <c r="PC19" s="24" t="s">
        <v>98</v>
      </c>
      <c r="PD19" s="24" t="s">
        <v>98</v>
      </c>
      <c r="PE19" s="24" t="s">
        <v>98</v>
      </c>
      <c r="PF19" s="24" t="s">
        <v>98</v>
      </c>
      <c r="PG19" s="24" t="s">
        <v>98</v>
      </c>
      <c r="PH19" s="24" t="s">
        <v>98</v>
      </c>
      <c r="PI19" s="24" t="s">
        <v>98</v>
      </c>
      <c r="PJ19" s="24" t="s">
        <v>98</v>
      </c>
      <c r="PK19" s="24" t="s">
        <v>98</v>
      </c>
      <c r="PL19" s="24" t="s">
        <v>98</v>
      </c>
      <c r="PM19" s="24" t="s">
        <v>98</v>
      </c>
      <c r="PN19" s="24" t="s">
        <v>98</v>
      </c>
      <c r="PO19" s="24" t="s">
        <v>98</v>
      </c>
      <c r="PP19" s="24" t="s">
        <v>98</v>
      </c>
      <c r="PQ19" s="24" t="s">
        <v>98</v>
      </c>
      <c r="PR19" s="24" t="s">
        <v>98</v>
      </c>
      <c r="PS19" s="24" t="s">
        <v>98</v>
      </c>
      <c r="PT19" s="24" t="s">
        <v>98</v>
      </c>
      <c r="PU19" s="24" t="s">
        <v>98</v>
      </c>
      <c r="PV19" s="24" t="s">
        <v>98</v>
      </c>
      <c r="PW19" s="24" t="s">
        <v>98</v>
      </c>
      <c r="PX19" s="24" t="s">
        <v>98</v>
      </c>
      <c r="PY19" s="24" t="s">
        <v>98</v>
      </c>
      <c r="PZ19" s="24" t="s">
        <v>98</v>
      </c>
      <c r="QA19" s="24" t="s">
        <v>98</v>
      </c>
      <c r="QB19" s="24" t="s">
        <v>98</v>
      </c>
      <c r="QC19" s="24" t="s">
        <v>98</v>
      </c>
      <c r="QD19" s="24" t="s">
        <v>98</v>
      </c>
      <c r="QE19" s="24" t="s">
        <v>98</v>
      </c>
      <c r="QF19" s="24" t="s">
        <v>98</v>
      </c>
      <c r="QG19" s="24" t="s">
        <v>98</v>
      </c>
      <c r="QH19" s="24" t="s">
        <v>98</v>
      </c>
      <c r="QI19" s="24" t="s">
        <v>98</v>
      </c>
      <c r="QJ19" s="24" t="s">
        <v>98</v>
      </c>
      <c r="QK19" s="24" t="s">
        <v>98</v>
      </c>
      <c r="QL19" s="24" t="s">
        <v>98</v>
      </c>
      <c r="QM19" s="24" t="s">
        <v>98</v>
      </c>
      <c r="QN19" s="24" t="s">
        <v>98</v>
      </c>
      <c r="QO19" s="24" t="s">
        <v>98</v>
      </c>
      <c r="QP19" s="24" t="s">
        <v>98</v>
      </c>
      <c r="QQ19" s="24" t="s">
        <v>98</v>
      </c>
      <c r="QR19" s="24" t="s">
        <v>98</v>
      </c>
      <c r="QS19" s="24" t="s">
        <v>98</v>
      </c>
      <c r="QT19" s="24" t="s">
        <v>98</v>
      </c>
      <c r="QU19" s="24" t="s">
        <v>98</v>
      </c>
      <c r="QV19" s="24" t="s">
        <v>98</v>
      </c>
      <c r="QW19" s="24" t="s">
        <v>98</v>
      </c>
      <c r="QX19" s="24" t="s">
        <v>98</v>
      </c>
      <c r="QY19" s="24" t="s">
        <v>98</v>
      </c>
      <c r="QZ19" s="24" t="s">
        <v>98</v>
      </c>
      <c r="RA19" s="24" t="s">
        <v>98</v>
      </c>
      <c r="RB19" s="24" t="s">
        <v>98</v>
      </c>
      <c r="RC19" s="24" t="s">
        <v>98</v>
      </c>
      <c r="RD19" s="24" t="s">
        <v>98</v>
      </c>
      <c r="RE19" s="24" t="s">
        <v>98</v>
      </c>
      <c r="RF19" s="24" t="s">
        <v>98</v>
      </c>
      <c r="RG19" s="24" t="s">
        <v>98</v>
      </c>
      <c r="RH19" s="24" t="s">
        <v>98</v>
      </c>
      <c r="RI19" s="24" t="s">
        <v>98</v>
      </c>
      <c r="RJ19" s="24" t="s">
        <v>98</v>
      </c>
      <c r="RK19" s="24" t="s">
        <v>98</v>
      </c>
      <c r="RL19" s="24" t="s">
        <v>98</v>
      </c>
      <c r="RM19" s="24" t="s">
        <v>98</v>
      </c>
      <c r="RN19" s="24" t="s">
        <v>98</v>
      </c>
      <c r="RO19" s="24" t="s">
        <v>98</v>
      </c>
      <c r="RP19" s="24" t="s">
        <v>98</v>
      </c>
      <c r="RQ19" s="24" t="s">
        <v>98</v>
      </c>
      <c r="RR19" s="24" t="s">
        <v>98</v>
      </c>
      <c r="RS19" s="24" t="s">
        <v>98</v>
      </c>
      <c r="RT19" s="24" t="s">
        <v>98</v>
      </c>
      <c r="RU19" s="24" t="s">
        <v>98</v>
      </c>
      <c r="RV19" s="24" t="s">
        <v>98</v>
      </c>
      <c r="RW19" s="24" t="s">
        <v>98</v>
      </c>
      <c r="RX19" s="24" t="s">
        <v>98</v>
      </c>
      <c r="RY19" s="24" t="s">
        <v>98</v>
      </c>
      <c r="RZ19" s="24" t="s">
        <v>98</v>
      </c>
      <c r="SA19" s="24" t="s">
        <v>98</v>
      </c>
      <c r="SB19" s="24" t="s">
        <v>98</v>
      </c>
      <c r="SC19" s="24" t="s">
        <v>98</v>
      </c>
      <c r="SD19" s="24" t="s">
        <v>98</v>
      </c>
      <c r="SE19" s="24" t="s">
        <v>98</v>
      </c>
      <c r="SF19" s="24" t="s">
        <v>98</v>
      </c>
      <c r="SG19" s="24" t="s">
        <v>98</v>
      </c>
      <c r="SH19" s="24" t="s">
        <v>98</v>
      </c>
      <c r="SI19" s="24" t="s">
        <v>98</v>
      </c>
      <c r="SJ19" s="24" t="s">
        <v>98</v>
      </c>
      <c r="SK19" s="24" t="s">
        <v>98</v>
      </c>
      <c r="SL19" s="24" t="s">
        <v>98</v>
      </c>
      <c r="SM19" s="24" t="s">
        <v>98</v>
      </c>
      <c r="SN19" s="24" t="s">
        <v>98</v>
      </c>
      <c r="SO19" s="24" t="s">
        <v>98</v>
      </c>
      <c r="SP19" s="24" t="s">
        <v>98</v>
      </c>
      <c r="SQ19" s="24" t="s">
        <v>98</v>
      </c>
      <c r="SR19" s="24" t="s">
        <v>98</v>
      </c>
      <c r="SS19" s="24" t="s">
        <v>98</v>
      </c>
      <c r="ST19" s="24" t="s">
        <v>98</v>
      </c>
      <c r="SU19" s="24" t="s">
        <v>98</v>
      </c>
      <c r="SV19" s="24" t="s">
        <v>98</v>
      </c>
      <c r="SW19" s="24" t="s">
        <v>98</v>
      </c>
      <c r="SX19" s="24" t="s">
        <v>98</v>
      </c>
      <c r="SY19" s="24" t="s">
        <v>98</v>
      </c>
      <c r="SZ19" s="24" t="s">
        <v>98</v>
      </c>
      <c r="TA19" s="24" t="s">
        <v>98</v>
      </c>
      <c r="TB19" s="24" t="s">
        <v>98</v>
      </c>
      <c r="TC19" s="24" t="s">
        <v>98</v>
      </c>
      <c r="TD19" s="24" t="s">
        <v>98</v>
      </c>
      <c r="TE19" s="24" t="s">
        <v>98</v>
      </c>
      <c r="TF19" s="24" t="s">
        <v>98</v>
      </c>
      <c r="TG19" s="24" t="s">
        <v>98</v>
      </c>
      <c r="TH19" s="24" t="s">
        <v>98</v>
      </c>
      <c r="TI19" s="24" t="s">
        <v>98</v>
      </c>
      <c r="TJ19" s="24" t="s">
        <v>98</v>
      </c>
      <c r="TK19" s="24" t="s">
        <v>98</v>
      </c>
      <c r="TL19" s="24" t="s">
        <v>98</v>
      </c>
      <c r="TM19" s="24" t="s">
        <v>98</v>
      </c>
      <c r="TN19" s="24" t="s">
        <v>98</v>
      </c>
      <c r="TO19" s="24" t="s">
        <v>98</v>
      </c>
      <c r="TP19" s="24" t="s">
        <v>98</v>
      </c>
      <c r="TQ19" s="24" t="s">
        <v>98</v>
      </c>
      <c r="TR19" s="24" t="s">
        <v>98</v>
      </c>
      <c r="TS19" s="24" t="s">
        <v>98</v>
      </c>
      <c r="TT19" s="24" t="s">
        <v>98</v>
      </c>
      <c r="TU19" s="24" t="s">
        <v>98</v>
      </c>
      <c r="TV19" s="24" t="s">
        <v>98</v>
      </c>
      <c r="TW19" s="24" t="s">
        <v>98</v>
      </c>
      <c r="TX19" s="24" t="s">
        <v>98</v>
      </c>
      <c r="TY19" s="24" t="s">
        <v>98</v>
      </c>
      <c r="TZ19" s="24" t="s">
        <v>98</v>
      </c>
      <c r="UA19" s="24" t="s">
        <v>98</v>
      </c>
      <c r="UB19" s="24" t="s">
        <v>98</v>
      </c>
      <c r="UC19" s="24" t="s">
        <v>98</v>
      </c>
      <c r="UD19" s="24" t="s">
        <v>98</v>
      </c>
      <c r="UE19" s="24" t="s">
        <v>98</v>
      </c>
      <c r="UF19" s="24" t="s">
        <v>98</v>
      </c>
      <c r="UG19" s="24" t="s">
        <v>98</v>
      </c>
      <c r="UH19" s="24" t="s">
        <v>98</v>
      </c>
      <c r="UI19" s="24" t="s">
        <v>98</v>
      </c>
      <c r="UJ19" s="24" t="s">
        <v>98</v>
      </c>
      <c r="UK19" s="24" t="s">
        <v>98</v>
      </c>
      <c r="UL19" s="24" t="s">
        <v>98</v>
      </c>
      <c r="UM19" s="24" t="s">
        <v>98</v>
      </c>
      <c r="UN19" s="24" t="s">
        <v>98</v>
      </c>
      <c r="UO19" s="24" t="s">
        <v>98</v>
      </c>
      <c r="UP19" s="24" t="s">
        <v>98</v>
      </c>
      <c r="UQ19" s="24" t="s">
        <v>98</v>
      </c>
      <c r="UR19" s="24" t="s">
        <v>98</v>
      </c>
      <c r="US19" s="24" t="s">
        <v>98</v>
      </c>
      <c r="UT19" s="24" t="s">
        <v>98</v>
      </c>
      <c r="UU19" s="24" t="s">
        <v>98</v>
      </c>
      <c r="UV19" s="24" t="s">
        <v>98</v>
      </c>
      <c r="UW19" s="24" t="s">
        <v>98</v>
      </c>
      <c r="UX19" s="24" t="s">
        <v>98</v>
      </c>
      <c r="UY19" s="24" t="s">
        <v>98</v>
      </c>
      <c r="UZ19" s="24" t="s">
        <v>98</v>
      </c>
      <c r="VA19" s="24" t="s">
        <v>98</v>
      </c>
      <c r="VB19" s="24" t="s">
        <v>98</v>
      </c>
      <c r="VC19" s="24" t="s">
        <v>98</v>
      </c>
      <c r="VD19" s="24" t="s">
        <v>98</v>
      </c>
      <c r="VE19" s="24" t="s">
        <v>98</v>
      </c>
      <c r="VF19" s="24" t="s">
        <v>98</v>
      </c>
      <c r="VG19" s="24" t="s">
        <v>98</v>
      </c>
      <c r="VH19" s="24" t="s">
        <v>98</v>
      </c>
      <c r="VI19" s="24" t="s">
        <v>98</v>
      </c>
      <c r="VJ19" s="24" t="s">
        <v>98</v>
      </c>
      <c r="VK19" s="24" t="s">
        <v>98</v>
      </c>
      <c r="VL19" s="24" t="s">
        <v>98</v>
      </c>
      <c r="VM19" s="24" t="s">
        <v>98</v>
      </c>
      <c r="VN19" s="24" t="s">
        <v>98</v>
      </c>
      <c r="VO19" s="24" t="s">
        <v>98</v>
      </c>
      <c r="VP19" s="24" t="s">
        <v>98</v>
      </c>
      <c r="VQ19" s="24" t="s">
        <v>98</v>
      </c>
      <c r="VR19" s="24" t="s">
        <v>98</v>
      </c>
      <c r="VS19" s="24" t="s">
        <v>98</v>
      </c>
      <c r="VT19" s="24" t="s">
        <v>98</v>
      </c>
      <c r="VU19" s="24" t="s">
        <v>98</v>
      </c>
      <c r="VV19" s="24" t="s">
        <v>98</v>
      </c>
      <c r="VW19" s="24" t="s">
        <v>98</v>
      </c>
      <c r="VX19" s="24" t="s">
        <v>98</v>
      </c>
      <c r="VY19" s="24" t="s">
        <v>98</v>
      </c>
      <c r="VZ19" s="24" t="s">
        <v>98</v>
      </c>
      <c r="WA19" s="24" t="s">
        <v>98</v>
      </c>
      <c r="WB19" s="24" t="s">
        <v>98</v>
      </c>
      <c r="WC19" s="24" t="s">
        <v>98</v>
      </c>
      <c r="WD19" s="24" t="s">
        <v>98</v>
      </c>
      <c r="WE19" s="24" t="s">
        <v>98</v>
      </c>
      <c r="WF19" s="24" t="s">
        <v>98</v>
      </c>
      <c r="WG19" s="24" t="s">
        <v>98</v>
      </c>
      <c r="WH19" s="24" t="s">
        <v>98</v>
      </c>
      <c r="WI19" s="24" t="s">
        <v>98</v>
      </c>
      <c r="WJ19" s="24" t="s">
        <v>98</v>
      </c>
      <c r="WK19" s="24" t="s">
        <v>98</v>
      </c>
      <c r="WL19" s="24" t="s">
        <v>98</v>
      </c>
      <c r="WM19" s="24" t="s">
        <v>98</v>
      </c>
      <c r="WN19" s="24" t="s">
        <v>98</v>
      </c>
      <c r="WO19" s="24" t="s">
        <v>98</v>
      </c>
      <c r="WP19" s="24" t="s">
        <v>98</v>
      </c>
      <c r="WQ19" s="24" t="s">
        <v>98</v>
      </c>
      <c r="WR19" s="24" t="s">
        <v>98</v>
      </c>
      <c r="WS19" s="24" t="s">
        <v>98</v>
      </c>
      <c r="WT19" s="24" t="s">
        <v>98</v>
      </c>
      <c r="WU19" s="24" t="s">
        <v>98</v>
      </c>
      <c r="WV19" s="24" t="s">
        <v>98</v>
      </c>
      <c r="WW19" s="24" t="s">
        <v>98</v>
      </c>
      <c r="WX19" s="24" t="s">
        <v>98</v>
      </c>
      <c r="WY19" s="24" t="s">
        <v>98</v>
      </c>
      <c r="WZ19" s="24" t="s">
        <v>98</v>
      </c>
      <c r="XA19" s="24" t="s">
        <v>98</v>
      </c>
      <c r="XB19" s="24" t="s">
        <v>98</v>
      </c>
      <c r="XC19" s="24" t="s">
        <v>98</v>
      </c>
      <c r="XD19" s="24" t="s">
        <v>98</v>
      </c>
      <c r="XE19" s="24" t="s">
        <v>98</v>
      </c>
      <c r="XF19" s="24" t="s">
        <v>98</v>
      </c>
      <c r="XG19" s="24" t="s">
        <v>98</v>
      </c>
      <c r="XH19" s="24" t="s">
        <v>98</v>
      </c>
      <c r="XI19" s="24" t="s">
        <v>98</v>
      </c>
      <c r="XJ19" s="24" t="s">
        <v>98</v>
      </c>
      <c r="XK19" s="24" t="s">
        <v>98</v>
      </c>
      <c r="XL19" s="24" t="s">
        <v>98</v>
      </c>
      <c r="XM19" s="24" t="s">
        <v>98</v>
      </c>
      <c r="XN19" s="24" t="s">
        <v>98</v>
      </c>
      <c r="XO19" s="24" t="s">
        <v>98</v>
      </c>
      <c r="XP19" s="24" t="s">
        <v>98</v>
      </c>
      <c r="XQ19" s="24" t="s">
        <v>98</v>
      </c>
    </row>
    <row r="20" spans="2:641" x14ac:dyDescent="0.3">
      <c r="B20" t="s">
        <v>104</v>
      </c>
      <c r="C20" s="14">
        <v>45019</v>
      </c>
      <c r="D20" s="14">
        <v>45020</v>
      </c>
      <c r="E20" s="14">
        <v>45021</v>
      </c>
      <c r="F20" s="14">
        <v>45022</v>
      </c>
      <c r="G20" s="14">
        <v>45023</v>
      </c>
      <c r="H20" s="14">
        <v>45024</v>
      </c>
      <c r="I20" s="14">
        <v>45025</v>
      </c>
      <c r="J20" s="14">
        <v>45026</v>
      </c>
      <c r="K20" s="14">
        <v>45027</v>
      </c>
      <c r="L20" s="14">
        <v>45028</v>
      </c>
      <c r="M20" s="14">
        <v>45029</v>
      </c>
      <c r="N20" s="14">
        <v>45030</v>
      </c>
      <c r="O20" s="14">
        <v>45031</v>
      </c>
      <c r="P20" s="14">
        <v>45032</v>
      </c>
      <c r="Q20" s="14">
        <v>45033</v>
      </c>
      <c r="R20" s="14">
        <v>45034</v>
      </c>
      <c r="S20" s="14">
        <v>45035</v>
      </c>
      <c r="T20" s="14">
        <v>45036</v>
      </c>
      <c r="U20" s="14">
        <v>45037</v>
      </c>
      <c r="V20" s="14">
        <v>45038</v>
      </c>
      <c r="W20" s="14">
        <v>45039</v>
      </c>
      <c r="X20" s="14">
        <v>45040</v>
      </c>
      <c r="Y20" s="14">
        <v>45041</v>
      </c>
      <c r="Z20" s="14">
        <v>45042</v>
      </c>
      <c r="AA20" s="14">
        <v>45043</v>
      </c>
      <c r="AB20" s="14">
        <v>45044</v>
      </c>
      <c r="AC20" s="14">
        <v>45045</v>
      </c>
      <c r="AD20" s="14">
        <v>45046</v>
      </c>
      <c r="AE20" s="14">
        <v>45047</v>
      </c>
      <c r="AF20" s="14">
        <v>45048</v>
      </c>
      <c r="AG20" s="14">
        <v>45049</v>
      </c>
      <c r="AH20" s="14">
        <v>45050</v>
      </c>
      <c r="AI20" s="14">
        <v>45051</v>
      </c>
      <c r="AJ20" s="14">
        <v>45052</v>
      </c>
      <c r="AK20" s="14">
        <v>45053</v>
      </c>
      <c r="AL20" s="14">
        <v>45054</v>
      </c>
      <c r="AM20" s="14">
        <v>45055</v>
      </c>
      <c r="AN20" s="14">
        <v>45056</v>
      </c>
      <c r="AO20" s="14">
        <v>45057</v>
      </c>
      <c r="AP20" s="14">
        <v>45058</v>
      </c>
      <c r="AQ20" s="14">
        <v>45059</v>
      </c>
      <c r="AR20" s="14">
        <v>45060</v>
      </c>
      <c r="AS20" s="14">
        <v>45061</v>
      </c>
      <c r="AT20" s="14">
        <v>45062</v>
      </c>
      <c r="AU20" s="14">
        <v>45063</v>
      </c>
      <c r="AV20" s="14">
        <v>45064</v>
      </c>
      <c r="AW20" s="14">
        <v>45065</v>
      </c>
      <c r="AX20" s="14">
        <v>45066</v>
      </c>
      <c r="AY20" s="14">
        <v>45067</v>
      </c>
      <c r="AZ20" s="14">
        <v>45068</v>
      </c>
      <c r="BA20" s="14">
        <v>45069</v>
      </c>
      <c r="BB20" s="14">
        <v>45070</v>
      </c>
      <c r="BC20" s="14">
        <v>45071</v>
      </c>
      <c r="BD20" s="14">
        <v>45072</v>
      </c>
      <c r="BE20" s="14">
        <v>45073</v>
      </c>
      <c r="BF20" s="14">
        <v>45074</v>
      </c>
      <c r="BG20" s="14">
        <v>45075</v>
      </c>
      <c r="BH20" s="14">
        <v>45076</v>
      </c>
      <c r="BI20" s="14">
        <v>45077</v>
      </c>
      <c r="BJ20" s="14">
        <v>45078</v>
      </c>
      <c r="BK20" s="14">
        <v>45079</v>
      </c>
      <c r="BL20" s="14">
        <v>45080</v>
      </c>
      <c r="BM20" s="14">
        <v>45081</v>
      </c>
      <c r="BN20" s="14">
        <v>45082</v>
      </c>
      <c r="BO20" s="14">
        <v>45083</v>
      </c>
      <c r="BP20" s="14">
        <v>45084</v>
      </c>
      <c r="BQ20" s="14">
        <v>45085</v>
      </c>
      <c r="BR20" s="14">
        <v>45086</v>
      </c>
      <c r="BS20" s="14">
        <v>45087</v>
      </c>
      <c r="BT20" s="14">
        <v>45088</v>
      </c>
      <c r="BU20" s="14">
        <v>45089</v>
      </c>
      <c r="BV20" s="14">
        <v>45090</v>
      </c>
      <c r="BW20" s="14">
        <v>45091</v>
      </c>
      <c r="BX20" s="14">
        <v>45092</v>
      </c>
      <c r="BY20" s="14">
        <v>45093</v>
      </c>
      <c r="BZ20" s="14">
        <v>45094</v>
      </c>
      <c r="CA20" s="14">
        <v>45095</v>
      </c>
      <c r="CB20" s="14">
        <v>45096</v>
      </c>
      <c r="CC20" s="14">
        <v>45097</v>
      </c>
      <c r="CD20" s="14">
        <v>45098</v>
      </c>
      <c r="CE20" s="14">
        <v>45099</v>
      </c>
      <c r="CF20" s="14">
        <v>45100</v>
      </c>
      <c r="CG20" s="14">
        <v>45101</v>
      </c>
      <c r="CH20" s="14">
        <v>45102</v>
      </c>
      <c r="CI20" s="14">
        <v>45103</v>
      </c>
      <c r="CJ20" s="14">
        <v>45104</v>
      </c>
      <c r="CK20" s="14">
        <v>45105</v>
      </c>
      <c r="CL20" s="14">
        <v>45106</v>
      </c>
      <c r="CM20" s="14">
        <v>45107</v>
      </c>
      <c r="CN20" s="14">
        <v>45108</v>
      </c>
      <c r="CO20" s="14">
        <v>45109</v>
      </c>
      <c r="CP20" s="14">
        <v>45110</v>
      </c>
      <c r="CQ20" s="14">
        <v>45111</v>
      </c>
      <c r="CR20" s="14">
        <v>45112</v>
      </c>
      <c r="CS20" s="14">
        <v>45113</v>
      </c>
      <c r="CT20" s="14">
        <v>45114</v>
      </c>
      <c r="CU20" s="14">
        <v>45115</v>
      </c>
      <c r="CV20" s="14">
        <v>45116</v>
      </c>
      <c r="CW20" s="14">
        <v>45117</v>
      </c>
      <c r="CX20" s="14">
        <v>45118</v>
      </c>
      <c r="CY20" s="14">
        <v>45119</v>
      </c>
      <c r="CZ20" s="14">
        <v>45120</v>
      </c>
      <c r="DA20" s="14">
        <v>45121</v>
      </c>
      <c r="DB20" s="14">
        <v>45122</v>
      </c>
      <c r="DC20" s="14">
        <v>45123</v>
      </c>
      <c r="DD20" s="14">
        <v>45124</v>
      </c>
      <c r="DE20" s="14">
        <v>45125</v>
      </c>
      <c r="DF20" s="14">
        <v>45126</v>
      </c>
      <c r="DG20" s="14">
        <v>45127</v>
      </c>
      <c r="DH20" s="14">
        <v>45128</v>
      </c>
      <c r="DI20" s="14">
        <v>45129</v>
      </c>
      <c r="DJ20" s="14">
        <v>45130</v>
      </c>
      <c r="DK20" s="14">
        <v>45131</v>
      </c>
      <c r="DL20" s="14">
        <v>45132</v>
      </c>
      <c r="DM20" s="14">
        <v>45133</v>
      </c>
      <c r="DN20" s="14">
        <v>45134</v>
      </c>
      <c r="DO20" s="14">
        <v>45135</v>
      </c>
      <c r="DP20" s="14">
        <v>45136</v>
      </c>
      <c r="DQ20" s="14">
        <v>45137</v>
      </c>
      <c r="DR20" s="14">
        <v>45138</v>
      </c>
      <c r="DS20" s="14">
        <v>45139</v>
      </c>
      <c r="DT20" s="14">
        <v>45140</v>
      </c>
      <c r="DU20" s="14">
        <v>45141</v>
      </c>
      <c r="DV20" s="14">
        <v>45142</v>
      </c>
      <c r="DW20" s="14">
        <v>45143</v>
      </c>
      <c r="DX20" s="14">
        <v>45144</v>
      </c>
      <c r="DY20" s="14">
        <v>45145</v>
      </c>
      <c r="DZ20" s="14">
        <v>45146</v>
      </c>
      <c r="EA20" s="14">
        <v>45147</v>
      </c>
      <c r="EB20" s="14">
        <v>45148</v>
      </c>
      <c r="EC20" s="14">
        <v>45149</v>
      </c>
      <c r="ED20" s="14">
        <v>45150</v>
      </c>
      <c r="EE20" s="14">
        <v>45151</v>
      </c>
      <c r="EF20" s="14">
        <v>45152</v>
      </c>
      <c r="EG20" s="14">
        <v>45153</v>
      </c>
      <c r="EH20" s="14">
        <v>45154</v>
      </c>
      <c r="EI20" s="14">
        <v>45155</v>
      </c>
      <c r="EJ20" s="14">
        <v>45156</v>
      </c>
      <c r="EK20" s="14">
        <v>45157</v>
      </c>
      <c r="EL20" s="14">
        <v>45158</v>
      </c>
      <c r="EM20" s="14">
        <v>45159</v>
      </c>
      <c r="EN20" s="14">
        <v>45160</v>
      </c>
      <c r="EO20" s="14">
        <v>45161</v>
      </c>
      <c r="EP20" s="14">
        <v>45162</v>
      </c>
      <c r="EQ20" s="14">
        <v>45163</v>
      </c>
      <c r="ER20" s="14">
        <v>45164</v>
      </c>
      <c r="ES20" s="14">
        <v>45165</v>
      </c>
      <c r="ET20" s="14">
        <v>45166</v>
      </c>
      <c r="EU20" s="14">
        <v>45167</v>
      </c>
      <c r="EV20" s="14">
        <v>45168</v>
      </c>
      <c r="EW20" s="14">
        <v>45169</v>
      </c>
      <c r="EX20" s="14">
        <v>45170</v>
      </c>
      <c r="EY20" s="14">
        <v>45171</v>
      </c>
      <c r="EZ20" s="14">
        <v>45172</v>
      </c>
      <c r="FA20" s="14">
        <v>45173</v>
      </c>
      <c r="FB20" s="14">
        <v>45174</v>
      </c>
      <c r="FC20" s="14">
        <v>45175</v>
      </c>
      <c r="FD20" s="14">
        <v>45176</v>
      </c>
      <c r="FE20" s="14">
        <v>45177</v>
      </c>
      <c r="FF20" s="14">
        <v>45178</v>
      </c>
      <c r="FG20" s="14">
        <v>45179</v>
      </c>
      <c r="FH20" s="14">
        <v>45180</v>
      </c>
      <c r="FI20" s="14">
        <v>45181</v>
      </c>
      <c r="FJ20" s="14">
        <v>45182</v>
      </c>
      <c r="FK20" s="14">
        <v>45183</v>
      </c>
      <c r="FL20" s="14">
        <v>45184</v>
      </c>
      <c r="FM20" s="14">
        <v>45185</v>
      </c>
      <c r="FN20" s="14">
        <v>45186</v>
      </c>
      <c r="FO20" s="14">
        <v>45187</v>
      </c>
      <c r="FP20" s="14">
        <v>45188</v>
      </c>
      <c r="FQ20" s="14">
        <v>45189</v>
      </c>
      <c r="FR20" s="14">
        <v>45190</v>
      </c>
      <c r="FS20" s="14">
        <v>45191</v>
      </c>
      <c r="FT20" s="14">
        <v>45192</v>
      </c>
      <c r="FU20" s="14">
        <v>45193</v>
      </c>
      <c r="FV20" s="14">
        <v>45194</v>
      </c>
      <c r="FW20" s="14">
        <v>45195</v>
      </c>
      <c r="FX20" s="14">
        <v>45196</v>
      </c>
      <c r="FY20" s="14">
        <v>45197</v>
      </c>
      <c r="FZ20" s="14">
        <v>45198</v>
      </c>
      <c r="GA20" s="14">
        <v>45199</v>
      </c>
      <c r="GB20" s="14">
        <v>45200</v>
      </c>
      <c r="GC20" s="14">
        <v>45201</v>
      </c>
      <c r="GD20" s="14">
        <v>45202</v>
      </c>
      <c r="GE20" s="14">
        <v>45203</v>
      </c>
      <c r="GF20" s="14">
        <v>45204</v>
      </c>
      <c r="GG20" s="14">
        <v>45205</v>
      </c>
      <c r="GH20" s="14">
        <v>45206</v>
      </c>
      <c r="GI20" s="14">
        <v>45207</v>
      </c>
      <c r="GJ20" s="14">
        <v>45208</v>
      </c>
      <c r="GK20" s="14">
        <v>45209</v>
      </c>
      <c r="GL20" s="14">
        <v>45210</v>
      </c>
      <c r="GM20" s="14">
        <v>45211</v>
      </c>
      <c r="GN20" s="14">
        <v>45212</v>
      </c>
      <c r="GO20" s="14">
        <v>45213</v>
      </c>
      <c r="GP20" s="14">
        <v>45214</v>
      </c>
      <c r="GQ20" s="14">
        <v>45215</v>
      </c>
      <c r="GR20" s="14">
        <v>45216</v>
      </c>
      <c r="GS20" s="14">
        <v>45217</v>
      </c>
      <c r="GT20" s="14">
        <v>45218</v>
      </c>
      <c r="GU20" s="14">
        <v>45219</v>
      </c>
      <c r="GV20" s="14">
        <v>45220</v>
      </c>
      <c r="GW20" s="14">
        <v>45221</v>
      </c>
      <c r="GX20" s="14">
        <v>45222</v>
      </c>
      <c r="GY20" s="14">
        <v>45223</v>
      </c>
      <c r="GZ20" s="14">
        <v>45224</v>
      </c>
      <c r="HA20" s="14">
        <v>45225</v>
      </c>
      <c r="HB20" s="14">
        <v>45226</v>
      </c>
      <c r="HC20" s="14">
        <v>45227</v>
      </c>
      <c r="HD20" s="14">
        <v>45228</v>
      </c>
      <c r="HE20" s="14">
        <v>45229</v>
      </c>
      <c r="HF20" s="14">
        <v>45230</v>
      </c>
      <c r="HG20" s="14">
        <v>45231</v>
      </c>
      <c r="HH20" s="14">
        <v>45232</v>
      </c>
      <c r="HI20" s="14">
        <v>45233</v>
      </c>
      <c r="HJ20" s="14">
        <v>45234</v>
      </c>
      <c r="HK20" s="14">
        <v>45235</v>
      </c>
      <c r="HL20" s="14">
        <v>45236</v>
      </c>
      <c r="HM20" s="14">
        <v>45237</v>
      </c>
      <c r="HN20" s="14">
        <v>45238</v>
      </c>
      <c r="HO20" s="14">
        <v>45239</v>
      </c>
      <c r="HP20" s="14">
        <v>45240</v>
      </c>
      <c r="HQ20" s="14">
        <v>45241</v>
      </c>
      <c r="HR20" s="14">
        <v>45242</v>
      </c>
      <c r="HS20" s="14">
        <v>45243</v>
      </c>
      <c r="HT20" s="14">
        <v>45244</v>
      </c>
      <c r="HU20" s="14">
        <v>45245</v>
      </c>
      <c r="HV20" s="14">
        <v>45246</v>
      </c>
      <c r="HW20" s="14">
        <v>45247</v>
      </c>
      <c r="HX20" s="14">
        <v>45248</v>
      </c>
      <c r="HY20" s="14">
        <v>45249</v>
      </c>
      <c r="HZ20" s="14">
        <v>45250</v>
      </c>
      <c r="IA20" s="14">
        <v>45251</v>
      </c>
      <c r="IB20" s="14">
        <v>45252</v>
      </c>
      <c r="IC20" s="14">
        <v>45253</v>
      </c>
      <c r="ID20" s="14">
        <v>45254</v>
      </c>
      <c r="IE20" s="14">
        <v>45255</v>
      </c>
      <c r="IF20" s="14">
        <v>45256</v>
      </c>
      <c r="IG20" s="14">
        <v>45257</v>
      </c>
      <c r="IH20" s="14">
        <v>45258</v>
      </c>
      <c r="II20" s="14">
        <v>45259</v>
      </c>
      <c r="IJ20" s="14">
        <v>45260</v>
      </c>
      <c r="IK20" s="14">
        <v>45261</v>
      </c>
      <c r="IL20" s="14">
        <v>45262</v>
      </c>
      <c r="IM20" s="14">
        <v>45263</v>
      </c>
      <c r="IN20" s="14">
        <v>45264</v>
      </c>
      <c r="IO20" s="14">
        <v>45265</v>
      </c>
      <c r="IP20" s="14">
        <v>45266</v>
      </c>
      <c r="IQ20" s="14">
        <v>45267</v>
      </c>
      <c r="IR20" s="14">
        <v>45268</v>
      </c>
      <c r="IS20" s="14">
        <v>45269</v>
      </c>
      <c r="IT20" s="14">
        <v>45270</v>
      </c>
      <c r="IU20" s="14">
        <v>45271</v>
      </c>
      <c r="IV20" s="14">
        <v>45272</v>
      </c>
      <c r="IW20" s="14">
        <v>45273</v>
      </c>
      <c r="IX20" s="14">
        <v>45274</v>
      </c>
      <c r="IY20" s="14">
        <v>45275</v>
      </c>
      <c r="IZ20" s="14">
        <v>45276</v>
      </c>
      <c r="JA20" s="14">
        <v>45277</v>
      </c>
      <c r="JB20" s="14">
        <v>45278</v>
      </c>
      <c r="JC20" s="14">
        <v>45279</v>
      </c>
      <c r="JD20" s="14">
        <v>45280</v>
      </c>
      <c r="JE20" s="14">
        <v>45281</v>
      </c>
      <c r="JF20" s="14">
        <v>45282</v>
      </c>
      <c r="JG20" s="14">
        <v>45283</v>
      </c>
      <c r="JH20" s="14">
        <v>45284</v>
      </c>
      <c r="JI20" s="14">
        <v>45285</v>
      </c>
      <c r="JJ20" s="14">
        <v>45286</v>
      </c>
      <c r="JK20" s="14">
        <v>45287</v>
      </c>
      <c r="JL20" s="14">
        <v>45288</v>
      </c>
      <c r="JM20" s="14">
        <v>45289</v>
      </c>
      <c r="JN20" s="14">
        <v>45290</v>
      </c>
      <c r="JO20" s="14">
        <v>45291</v>
      </c>
      <c r="JP20" s="14">
        <v>45292</v>
      </c>
      <c r="JQ20" s="14">
        <v>45293</v>
      </c>
      <c r="JR20" s="14">
        <v>45294</v>
      </c>
      <c r="JS20" s="14">
        <v>45295</v>
      </c>
      <c r="JT20" s="14">
        <v>45296</v>
      </c>
      <c r="JU20" s="14">
        <v>45297</v>
      </c>
      <c r="JV20" s="14">
        <v>45298</v>
      </c>
      <c r="JW20" s="14">
        <v>45299</v>
      </c>
      <c r="JX20" s="14">
        <v>45300</v>
      </c>
      <c r="JY20" s="14">
        <v>45301</v>
      </c>
      <c r="JZ20" s="14">
        <v>45302</v>
      </c>
      <c r="KA20" s="14">
        <v>45303</v>
      </c>
      <c r="KB20" s="14">
        <v>45304</v>
      </c>
      <c r="KC20" s="14">
        <v>45305</v>
      </c>
      <c r="KD20" s="14">
        <v>45306</v>
      </c>
      <c r="KE20" s="14">
        <v>45307</v>
      </c>
      <c r="KF20" s="14">
        <v>45308</v>
      </c>
      <c r="KG20" s="14">
        <v>45309</v>
      </c>
      <c r="KH20" s="14">
        <v>45310</v>
      </c>
      <c r="KI20" s="14">
        <v>45311</v>
      </c>
      <c r="KJ20" s="14">
        <v>45312</v>
      </c>
      <c r="KK20" s="14">
        <v>45313</v>
      </c>
      <c r="KL20" s="14">
        <v>45314</v>
      </c>
      <c r="KM20" s="14">
        <v>45315</v>
      </c>
      <c r="KN20" s="14">
        <v>45316</v>
      </c>
      <c r="KO20" s="14">
        <v>45317</v>
      </c>
      <c r="KP20" s="14">
        <v>45318</v>
      </c>
      <c r="KQ20" s="14">
        <v>45319</v>
      </c>
      <c r="KR20" s="14">
        <v>45320</v>
      </c>
      <c r="KS20" s="14">
        <v>45321</v>
      </c>
      <c r="KT20" s="14">
        <v>45322</v>
      </c>
      <c r="KU20" s="14">
        <v>45323</v>
      </c>
      <c r="KV20" s="14">
        <v>45324</v>
      </c>
      <c r="KW20" s="14">
        <v>45325</v>
      </c>
      <c r="KX20" s="14">
        <v>45326</v>
      </c>
      <c r="KY20" s="14">
        <v>45327</v>
      </c>
      <c r="KZ20" s="14">
        <v>45328</v>
      </c>
      <c r="LA20" s="14">
        <v>45329</v>
      </c>
      <c r="LB20" s="14">
        <v>45330</v>
      </c>
      <c r="LC20" s="14">
        <v>45331</v>
      </c>
      <c r="LD20" s="14">
        <v>45332</v>
      </c>
      <c r="LE20" s="14">
        <v>45333</v>
      </c>
      <c r="LF20" s="14">
        <v>45334</v>
      </c>
      <c r="LG20" s="14">
        <v>45335</v>
      </c>
      <c r="LH20" s="14">
        <v>45336</v>
      </c>
      <c r="LI20" s="14">
        <v>45337</v>
      </c>
      <c r="LJ20" s="14">
        <v>45338</v>
      </c>
      <c r="LK20" s="14">
        <v>45339</v>
      </c>
      <c r="LL20" s="14">
        <v>45340</v>
      </c>
      <c r="LM20" s="14">
        <v>45341</v>
      </c>
      <c r="LN20" s="14">
        <v>45342</v>
      </c>
      <c r="LO20" s="14">
        <v>45343</v>
      </c>
      <c r="LP20" s="14">
        <v>45344</v>
      </c>
      <c r="LQ20" s="14">
        <v>45345</v>
      </c>
      <c r="LR20" s="14">
        <v>45346</v>
      </c>
      <c r="LS20" s="14">
        <v>45347</v>
      </c>
      <c r="LT20" s="14">
        <v>45348</v>
      </c>
      <c r="LU20" s="14">
        <v>45349</v>
      </c>
      <c r="LV20" s="14">
        <v>45350</v>
      </c>
      <c r="LW20" s="14">
        <v>45351</v>
      </c>
      <c r="LX20" s="14">
        <v>45352</v>
      </c>
      <c r="LY20" s="14">
        <v>45353</v>
      </c>
      <c r="LZ20" s="14">
        <v>45354</v>
      </c>
      <c r="MA20" s="14">
        <v>45355</v>
      </c>
      <c r="MB20" s="14">
        <v>45356</v>
      </c>
      <c r="MC20" s="14">
        <v>45357</v>
      </c>
      <c r="MD20" s="14">
        <v>45358</v>
      </c>
      <c r="ME20" s="14">
        <v>45359</v>
      </c>
      <c r="MF20" s="14">
        <v>45360</v>
      </c>
      <c r="MG20" s="14">
        <v>45361</v>
      </c>
      <c r="MH20" s="14">
        <v>45362</v>
      </c>
      <c r="MI20" s="14">
        <v>45363</v>
      </c>
      <c r="MJ20" s="14">
        <v>45364</v>
      </c>
      <c r="MK20" s="14">
        <v>45365</v>
      </c>
      <c r="ML20" s="14">
        <v>45366</v>
      </c>
      <c r="MM20" s="14">
        <v>45367</v>
      </c>
      <c r="MN20" s="14">
        <v>45368</v>
      </c>
      <c r="MO20" s="14">
        <v>45369</v>
      </c>
      <c r="MP20" s="14">
        <v>45370</v>
      </c>
      <c r="MQ20" s="14">
        <v>45371</v>
      </c>
      <c r="MR20" s="14">
        <v>45372</v>
      </c>
      <c r="MS20" s="14">
        <v>45373</v>
      </c>
      <c r="MT20" s="14">
        <v>45374</v>
      </c>
      <c r="MU20" s="14">
        <v>45375</v>
      </c>
      <c r="MV20" s="14">
        <v>45376</v>
      </c>
      <c r="MW20" s="14">
        <v>45377</v>
      </c>
      <c r="MX20" s="14">
        <v>45378</v>
      </c>
      <c r="MY20" s="14">
        <v>45379</v>
      </c>
      <c r="MZ20" s="14">
        <v>45380</v>
      </c>
      <c r="NA20" s="14">
        <v>45381</v>
      </c>
      <c r="NB20" s="14">
        <v>45382</v>
      </c>
      <c r="NC20" s="14">
        <v>45383</v>
      </c>
      <c r="ND20" s="14">
        <v>45384</v>
      </c>
      <c r="NE20" s="14">
        <v>45385</v>
      </c>
      <c r="NF20" s="14">
        <v>45386</v>
      </c>
      <c r="NG20" s="14">
        <v>45387</v>
      </c>
      <c r="NH20" s="14">
        <v>45388</v>
      </c>
      <c r="NI20" s="14">
        <v>45389</v>
      </c>
      <c r="NJ20" s="14">
        <v>45390</v>
      </c>
      <c r="NK20" s="14">
        <v>45391</v>
      </c>
      <c r="NL20" s="14">
        <v>45392</v>
      </c>
      <c r="NM20" s="14">
        <v>45393</v>
      </c>
      <c r="NN20" s="14">
        <v>45394</v>
      </c>
      <c r="NO20" s="14">
        <v>45395</v>
      </c>
      <c r="NP20" s="14">
        <v>45396</v>
      </c>
      <c r="NQ20" s="14">
        <v>45397</v>
      </c>
      <c r="NR20" s="14">
        <v>45398</v>
      </c>
      <c r="NS20" s="14">
        <v>45399</v>
      </c>
      <c r="NT20" s="14">
        <v>45400</v>
      </c>
      <c r="NU20" s="14">
        <v>45401</v>
      </c>
      <c r="NV20" s="14">
        <v>45402</v>
      </c>
      <c r="NW20" s="14">
        <v>45403</v>
      </c>
      <c r="NX20" s="14">
        <v>45404</v>
      </c>
      <c r="NY20" s="14">
        <v>45405</v>
      </c>
      <c r="NZ20" s="14">
        <v>45406</v>
      </c>
      <c r="OA20" s="14">
        <v>45407</v>
      </c>
      <c r="OB20" s="14">
        <v>45408</v>
      </c>
      <c r="OC20" s="14">
        <v>45409</v>
      </c>
      <c r="OD20" s="14">
        <v>45410</v>
      </c>
      <c r="OE20" s="14">
        <v>45411</v>
      </c>
      <c r="OF20" s="14">
        <v>45412</v>
      </c>
      <c r="OG20" s="14">
        <v>45413</v>
      </c>
      <c r="OH20" s="14">
        <v>45414</v>
      </c>
      <c r="OI20" s="14">
        <v>45415</v>
      </c>
      <c r="OJ20" s="14">
        <v>45416</v>
      </c>
      <c r="OK20" s="14">
        <v>45417</v>
      </c>
      <c r="OL20" s="14">
        <v>45418</v>
      </c>
      <c r="OM20" s="14">
        <v>45419</v>
      </c>
      <c r="ON20" s="14">
        <v>45420</v>
      </c>
      <c r="OO20" s="14">
        <v>45421</v>
      </c>
      <c r="OP20" s="14">
        <v>45422</v>
      </c>
      <c r="OQ20" s="14">
        <v>45423</v>
      </c>
      <c r="OR20" s="14">
        <v>45424</v>
      </c>
      <c r="OS20" s="14">
        <v>45425</v>
      </c>
      <c r="OT20" s="14">
        <v>45426</v>
      </c>
      <c r="OU20" s="14">
        <v>45427</v>
      </c>
      <c r="OV20" s="14">
        <v>45428</v>
      </c>
      <c r="OW20" s="14">
        <v>45429</v>
      </c>
      <c r="OX20" s="14">
        <v>45430</v>
      </c>
      <c r="OY20" s="14">
        <v>45431</v>
      </c>
      <c r="OZ20" s="14">
        <v>45432</v>
      </c>
      <c r="PA20" s="14">
        <v>45433</v>
      </c>
      <c r="PB20" s="14">
        <v>45434</v>
      </c>
      <c r="PC20" s="14">
        <v>45435</v>
      </c>
      <c r="PD20" s="14">
        <v>45436</v>
      </c>
      <c r="PE20" s="14">
        <v>45437</v>
      </c>
      <c r="PF20" s="14">
        <v>45438</v>
      </c>
      <c r="PG20" s="14">
        <v>45439</v>
      </c>
      <c r="PH20" s="14">
        <v>45440</v>
      </c>
      <c r="PI20" s="14">
        <v>45441</v>
      </c>
      <c r="PJ20" s="14">
        <v>45442</v>
      </c>
      <c r="PK20" s="14">
        <v>45443</v>
      </c>
      <c r="PL20" s="14">
        <v>45444</v>
      </c>
      <c r="PM20" s="14">
        <v>45445</v>
      </c>
      <c r="PN20" s="14">
        <v>45446</v>
      </c>
      <c r="PO20" s="14">
        <v>45447</v>
      </c>
      <c r="PP20" s="14">
        <v>45448</v>
      </c>
      <c r="PQ20" s="14">
        <v>45449</v>
      </c>
      <c r="PR20" s="14">
        <v>45450</v>
      </c>
      <c r="PS20" s="14">
        <v>45451</v>
      </c>
      <c r="PT20" s="14">
        <v>45452</v>
      </c>
      <c r="PU20" s="14">
        <v>45453</v>
      </c>
      <c r="PV20" s="14">
        <v>45454</v>
      </c>
      <c r="PW20" s="14">
        <v>45455</v>
      </c>
      <c r="PX20" s="14">
        <v>45456</v>
      </c>
      <c r="PY20" s="14">
        <v>45457</v>
      </c>
      <c r="PZ20" s="14">
        <v>45458</v>
      </c>
      <c r="QA20" s="14">
        <v>45459</v>
      </c>
      <c r="QB20" s="14">
        <v>45460</v>
      </c>
      <c r="QC20" s="14">
        <v>45461</v>
      </c>
      <c r="QD20" s="14">
        <v>45462</v>
      </c>
      <c r="QE20" s="14">
        <v>45463</v>
      </c>
      <c r="QF20" s="14">
        <v>45464</v>
      </c>
      <c r="QG20" s="14">
        <v>45465</v>
      </c>
      <c r="QH20" s="14">
        <v>45466</v>
      </c>
      <c r="QI20" s="14">
        <v>45467</v>
      </c>
      <c r="QJ20" s="14">
        <v>45468</v>
      </c>
      <c r="QK20" s="14">
        <v>45469</v>
      </c>
      <c r="QL20" s="14">
        <v>45470</v>
      </c>
      <c r="QM20" s="14">
        <v>45471</v>
      </c>
      <c r="QN20" s="14">
        <v>45472</v>
      </c>
      <c r="QO20" s="14">
        <v>45473</v>
      </c>
      <c r="QP20" s="14">
        <v>45474</v>
      </c>
      <c r="QQ20" s="14">
        <v>45475</v>
      </c>
      <c r="QR20" s="14">
        <v>45476</v>
      </c>
      <c r="QS20" s="14">
        <v>45477</v>
      </c>
      <c r="QT20" s="14">
        <v>45478</v>
      </c>
      <c r="QU20" s="14">
        <v>45479</v>
      </c>
      <c r="QV20" s="14">
        <v>45480</v>
      </c>
      <c r="QW20" s="14">
        <v>45481</v>
      </c>
      <c r="QX20" s="14">
        <v>45482</v>
      </c>
      <c r="QY20" s="14">
        <v>45483</v>
      </c>
      <c r="QZ20" s="14">
        <v>45484</v>
      </c>
      <c r="RA20" s="14">
        <v>45485</v>
      </c>
      <c r="RB20" s="14">
        <v>45486</v>
      </c>
      <c r="RC20" s="14">
        <v>45487</v>
      </c>
      <c r="RD20" s="14">
        <v>45488</v>
      </c>
      <c r="RE20" s="14">
        <v>45489</v>
      </c>
      <c r="RF20" s="14">
        <v>45490</v>
      </c>
      <c r="RG20" s="14">
        <v>45491</v>
      </c>
      <c r="RH20" s="14">
        <v>45492</v>
      </c>
      <c r="RI20" s="14">
        <v>45493</v>
      </c>
      <c r="RJ20" s="14">
        <v>45494</v>
      </c>
      <c r="RK20" s="14">
        <v>45495</v>
      </c>
      <c r="RL20" s="14">
        <v>45496</v>
      </c>
      <c r="RM20" s="14">
        <v>45497</v>
      </c>
      <c r="RN20" s="14">
        <v>45498</v>
      </c>
      <c r="RO20" s="14">
        <v>45499</v>
      </c>
      <c r="RP20" s="14">
        <v>45500</v>
      </c>
      <c r="RQ20" s="14">
        <v>45501</v>
      </c>
      <c r="RR20" s="14">
        <v>45502</v>
      </c>
      <c r="RS20" s="14">
        <v>45503</v>
      </c>
      <c r="RT20" s="14">
        <v>45504</v>
      </c>
      <c r="RU20" s="14">
        <v>45505</v>
      </c>
      <c r="RV20" s="14">
        <v>45506</v>
      </c>
      <c r="RW20" s="14">
        <v>45507</v>
      </c>
      <c r="RX20" s="14">
        <v>45508</v>
      </c>
      <c r="RY20" s="14">
        <v>45509</v>
      </c>
      <c r="RZ20" s="14">
        <v>45510</v>
      </c>
      <c r="SA20" s="14">
        <v>45511</v>
      </c>
      <c r="SB20" s="14">
        <v>45512</v>
      </c>
      <c r="SC20" s="14">
        <v>45513</v>
      </c>
      <c r="SD20" s="14">
        <v>45514</v>
      </c>
      <c r="SE20" s="14">
        <v>45515</v>
      </c>
      <c r="SF20" s="14">
        <v>45516</v>
      </c>
      <c r="SG20" s="14">
        <v>45517</v>
      </c>
      <c r="SH20" s="14">
        <v>45518</v>
      </c>
      <c r="SI20" s="14">
        <v>45519</v>
      </c>
      <c r="SJ20" s="14">
        <v>45520</v>
      </c>
      <c r="SK20" s="14">
        <v>45521</v>
      </c>
      <c r="SL20" s="14">
        <v>45522</v>
      </c>
      <c r="SM20" s="14">
        <v>45523</v>
      </c>
      <c r="SN20" s="14">
        <v>45524</v>
      </c>
      <c r="SO20" s="14">
        <v>45525</v>
      </c>
      <c r="SP20" s="14">
        <v>45526</v>
      </c>
      <c r="SQ20" s="14">
        <v>45527</v>
      </c>
      <c r="SR20" s="14">
        <v>45528</v>
      </c>
      <c r="SS20" s="14">
        <v>45529</v>
      </c>
      <c r="ST20" s="14">
        <v>45530</v>
      </c>
      <c r="SU20" s="14">
        <v>45531</v>
      </c>
      <c r="SV20" s="14">
        <v>45532</v>
      </c>
      <c r="SW20" s="14">
        <v>45533</v>
      </c>
      <c r="SX20" s="14">
        <v>45534</v>
      </c>
      <c r="SY20" s="14">
        <v>45535</v>
      </c>
      <c r="SZ20" s="14">
        <v>45536</v>
      </c>
      <c r="TA20" s="14">
        <v>45537</v>
      </c>
      <c r="TB20" s="14">
        <v>45538</v>
      </c>
      <c r="TC20" s="14">
        <v>45539</v>
      </c>
      <c r="TD20" s="14">
        <v>45540</v>
      </c>
      <c r="TE20" s="14">
        <v>45541</v>
      </c>
      <c r="TF20" s="14">
        <v>45542</v>
      </c>
      <c r="TG20" s="14">
        <v>45543</v>
      </c>
      <c r="TH20" s="14">
        <v>45544</v>
      </c>
      <c r="TI20" s="14">
        <v>45545</v>
      </c>
      <c r="TJ20" s="14">
        <v>45546</v>
      </c>
      <c r="TK20" s="14">
        <v>45547</v>
      </c>
      <c r="TL20" s="14">
        <v>45548</v>
      </c>
      <c r="TM20" s="14">
        <v>45549</v>
      </c>
      <c r="TN20" s="14">
        <v>45550</v>
      </c>
      <c r="TO20" s="14">
        <v>45551</v>
      </c>
      <c r="TP20" s="14">
        <v>45552</v>
      </c>
      <c r="TQ20" s="14">
        <v>45553</v>
      </c>
      <c r="TR20" s="14">
        <v>45554</v>
      </c>
      <c r="TS20" s="14">
        <v>45555</v>
      </c>
      <c r="TT20" s="14">
        <v>45556</v>
      </c>
      <c r="TU20" s="14">
        <v>45557</v>
      </c>
      <c r="TV20" s="14">
        <v>45558</v>
      </c>
      <c r="TW20" s="14">
        <v>45559</v>
      </c>
      <c r="TX20" s="14">
        <v>45560</v>
      </c>
      <c r="TY20" s="14">
        <v>45561</v>
      </c>
      <c r="TZ20" s="14">
        <v>45562</v>
      </c>
      <c r="UA20" s="14">
        <v>45563</v>
      </c>
      <c r="UB20" s="14">
        <v>45564</v>
      </c>
      <c r="UC20" s="14">
        <v>45565</v>
      </c>
      <c r="UD20" s="14">
        <v>45566</v>
      </c>
      <c r="UE20" s="14">
        <v>45567</v>
      </c>
      <c r="UF20" s="14">
        <v>45568</v>
      </c>
      <c r="UG20" s="14">
        <v>45569</v>
      </c>
      <c r="UH20" s="14">
        <v>45570</v>
      </c>
      <c r="UI20" s="14">
        <v>45571</v>
      </c>
      <c r="UJ20" s="14">
        <v>45572</v>
      </c>
      <c r="UK20" s="14">
        <v>45573</v>
      </c>
      <c r="UL20" s="14">
        <v>45574</v>
      </c>
      <c r="UM20" s="14">
        <v>45575</v>
      </c>
      <c r="UN20" s="14">
        <v>45576</v>
      </c>
      <c r="UO20" s="14">
        <v>45577</v>
      </c>
      <c r="UP20" s="14">
        <v>45578</v>
      </c>
      <c r="UQ20" s="14">
        <v>45579</v>
      </c>
      <c r="UR20" s="14">
        <v>45580</v>
      </c>
      <c r="US20" s="14">
        <v>45581</v>
      </c>
      <c r="UT20" s="14">
        <v>45582</v>
      </c>
      <c r="UU20" s="14">
        <v>45583</v>
      </c>
      <c r="UV20" s="14">
        <v>45584</v>
      </c>
      <c r="UW20" s="14">
        <v>45585</v>
      </c>
      <c r="UX20" s="14">
        <v>45586</v>
      </c>
      <c r="UY20" s="14">
        <v>45587</v>
      </c>
      <c r="UZ20" s="14">
        <v>45588</v>
      </c>
      <c r="VA20" s="14">
        <v>45589</v>
      </c>
      <c r="VB20" s="14">
        <v>45590</v>
      </c>
      <c r="VC20" s="14">
        <v>45591</v>
      </c>
      <c r="VD20" s="14">
        <v>45592</v>
      </c>
      <c r="VE20" s="14">
        <v>45593</v>
      </c>
      <c r="VF20" s="14">
        <v>45594</v>
      </c>
      <c r="VG20" s="14">
        <v>45595</v>
      </c>
      <c r="VH20" s="14">
        <v>45596</v>
      </c>
      <c r="VI20" s="14">
        <v>45597</v>
      </c>
      <c r="VJ20" s="14">
        <v>45598</v>
      </c>
      <c r="VK20" s="14">
        <v>45599</v>
      </c>
      <c r="VL20" s="14">
        <v>45600</v>
      </c>
      <c r="VM20" s="14">
        <v>45601</v>
      </c>
      <c r="VN20" s="14">
        <v>45602</v>
      </c>
      <c r="VO20" s="14">
        <v>45603</v>
      </c>
      <c r="VP20" s="14">
        <v>45604</v>
      </c>
      <c r="VQ20" s="14">
        <v>45605</v>
      </c>
      <c r="VR20" s="14">
        <v>45606</v>
      </c>
      <c r="VS20" s="14">
        <v>45607</v>
      </c>
      <c r="VT20" s="14">
        <v>45608</v>
      </c>
      <c r="VU20" s="14">
        <v>45609</v>
      </c>
      <c r="VV20" s="14">
        <v>45610</v>
      </c>
      <c r="VW20" s="14">
        <v>45611</v>
      </c>
      <c r="VX20" s="14">
        <v>45612</v>
      </c>
      <c r="VY20" s="14">
        <v>45613</v>
      </c>
      <c r="VZ20" s="14">
        <v>45614</v>
      </c>
      <c r="WA20" s="14">
        <v>45615</v>
      </c>
      <c r="WB20" s="14">
        <v>45616</v>
      </c>
      <c r="WC20" s="14">
        <v>45617</v>
      </c>
      <c r="WD20" s="14">
        <v>45618</v>
      </c>
      <c r="WE20" s="14">
        <v>45619</v>
      </c>
      <c r="WF20" s="14">
        <v>45620</v>
      </c>
      <c r="WG20" s="14">
        <v>45621</v>
      </c>
      <c r="WH20" s="14">
        <v>45622</v>
      </c>
      <c r="WI20" s="14">
        <v>45623</v>
      </c>
      <c r="WJ20" s="14">
        <v>45624</v>
      </c>
      <c r="WK20" s="14">
        <v>45625</v>
      </c>
      <c r="WL20" s="14">
        <v>45626</v>
      </c>
      <c r="WM20" s="14">
        <v>45627</v>
      </c>
      <c r="WN20" s="14">
        <v>45628</v>
      </c>
      <c r="WO20" s="14">
        <v>45629</v>
      </c>
      <c r="WP20" s="14">
        <v>45630</v>
      </c>
      <c r="WQ20" s="14">
        <v>45631</v>
      </c>
      <c r="WR20" s="14">
        <v>45632</v>
      </c>
      <c r="WS20" s="14">
        <v>45633</v>
      </c>
      <c r="WT20" s="14">
        <v>45634</v>
      </c>
      <c r="WU20" s="14">
        <v>45635</v>
      </c>
      <c r="WV20" s="14">
        <v>45636</v>
      </c>
      <c r="WW20" s="14">
        <v>45637</v>
      </c>
      <c r="WX20" s="14">
        <v>45638</v>
      </c>
      <c r="WY20" s="14">
        <v>45639</v>
      </c>
      <c r="WZ20" s="14">
        <v>45640</v>
      </c>
      <c r="XA20" s="14">
        <v>45641</v>
      </c>
      <c r="XB20" s="14">
        <v>45642</v>
      </c>
      <c r="XC20" s="14">
        <v>45643</v>
      </c>
      <c r="XD20" s="14">
        <v>45644</v>
      </c>
      <c r="XE20" s="14">
        <v>45645</v>
      </c>
      <c r="XF20" s="14">
        <v>45646</v>
      </c>
      <c r="XG20" s="14">
        <v>45647</v>
      </c>
      <c r="XH20" s="14">
        <v>45648</v>
      </c>
      <c r="XI20" s="14">
        <v>45649</v>
      </c>
      <c r="XJ20" s="14">
        <v>45650</v>
      </c>
      <c r="XK20" s="14">
        <v>45651</v>
      </c>
      <c r="XL20" s="14">
        <v>45652</v>
      </c>
      <c r="XM20" s="14">
        <v>45653</v>
      </c>
      <c r="XN20" s="14">
        <v>45654</v>
      </c>
      <c r="XO20" s="14">
        <v>45655</v>
      </c>
      <c r="XP20" s="14">
        <v>45656</v>
      </c>
      <c r="XQ20" s="14">
        <v>45657</v>
      </c>
    </row>
    <row r="21" spans="2:641" x14ac:dyDescent="0.3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</row>
    <row r="22" spans="2:641" x14ac:dyDescent="0.3">
      <c r="B22" t="s">
        <v>49</v>
      </c>
      <c r="C22" s="2">
        <v>5</v>
      </c>
      <c r="D22" s="2">
        <v>10</v>
      </c>
      <c r="E22" s="2">
        <v>15</v>
      </c>
      <c r="F22" s="2">
        <v>15</v>
      </c>
      <c r="G22" s="2">
        <v>15</v>
      </c>
      <c r="H22" s="2">
        <v>14</v>
      </c>
      <c r="I22" s="2">
        <v>10</v>
      </c>
      <c r="J22" s="2">
        <f>C22</f>
        <v>5</v>
      </c>
      <c r="K22" s="2">
        <f t="shared" ref="K22:BV22" si="12">D22</f>
        <v>10</v>
      </c>
      <c r="L22" s="2">
        <f t="shared" si="12"/>
        <v>15</v>
      </c>
      <c r="M22" s="2">
        <f t="shared" si="12"/>
        <v>15</v>
      </c>
      <c r="N22" s="2">
        <f t="shared" si="12"/>
        <v>15</v>
      </c>
      <c r="O22" s="2">
        <f t="shared" si="12"/>
        <v>14</v>
      </c>
      <c r="P22" s="2">
        <f t="shared" si="12"/>
        <v>10</v>
      </c>
      <c r="Q22" s="2">
        <f t="shared" si="12"/>
        <v>5</v>
      </c>
      <c r="R22" s="2">
        <f t="shared" si="12"/>
        <v>10</v>
      </c>
      <c r="S22" s="2">
        <f t="shared" si="12"/>
        <v>15</v>
      </c>
      <c r="T22" s="2">
        <f t="shared" si="12"/>
        <v>15</v>
      </c>
      <c r="U22" s="2">
        <f t="shared" si="12"/>
        <v>15</v>
      </c>
      <c r="V22" s="2">
        <f t="shared" si="12"/>
        <v>14</v>
      </c>
      <c r="W22" s="2">
        <f t="shared" si="12"/>
        <v>10</v>
      </c>
      <c r="X22" s="2">
        <f t="shared" si="12"/>
        <v>5</v>
      </c>
      <c r="Y22" s="2">
        <f t="shared" si="12"/>
        <v>10</v>
      </c>
      <c r="Z22" s="2">
        <f t="shared" si="12"/>
        <v>15</v>
      </c>
      <c r="AA22" s="2">
        <f t="shared" si="12"/>
        <v>15</v>
      </c>
      <c r="AB22" s="2">
        <f t="shared" si="12"/>
        <v>15</v>
      </c>
      <c r="AC22" s="2">
        <f t="shared" si="12"/>
        <v>14</v>
      </c>
      <c r="AD22" s="2">
        <f t="shared" si="12"/>
        <v>10</v>
      </c>
      <c r="AE22" s="2">
        <f t="shared" si="12"/>
        <v>5</v>
      </c>
      <c r="AF22" s="2">
        <f t="shared" si="12"/>
        <v>10</v>
      </c>
      <c r="AG22" s="2">
        <f t="shared" si="12"/>
        <v>15</v>
      </c>
      <c r="AH22" s="2">
        <f t="shared" si="12"/>
        <v>15</v>
      </c>
      <c r="AI22" s="2">
        <f t="shared" si="12"/>
        <v>15</v>
      </c>
      <c r="AJ22" s="2">
        <f t="shared" si="12"/>
        <v>14</v>
      </c>
      <c r="AK22" s="2">
        <f t="shared" si="12"/>
        <v>10</v>
      </c>
      <c r="AL22" s="2">
        <f t="shared" si="12"/>
        <v>5</v>
      </c>
      <c r="AM22" s="2">
        <f t="shared" si="12"/>
        <v>10</v>
      </c>
      <c r="AN22" s="2">
        <f t="shared" si="12"/>
        <v>15</v>
      </c>
      <c r="AO22" s="2">
        <f t="shared" si="12"/>
        <v>15</v>
      </c>
      <c r="AP22" s="2">
        <f t="shared" si="12"/>
        <v>15</v>
      </c>
      <c r="AQ22" s="2">
        <f t="shared" si="12"/>
        <v>14</v>
      </c>
      <c r="AR22" s="2">
        <f t="shared" si="12"/>
        <v>10</v>
      </c>
      <c r="AS22" s="2">
        <f t="shared" si="12"/>
        <v>5</v>
      </c>
      <c r="AT22" s="2">
        <f t="shared" si="12"/>
        <v>10</v>
      </c>
      <c r="AU22" s="2">
        <f t="shared" si="12"/>
        <v>15</v>
      </c>
      <c r="AV22" s="2">
        <f t="shared" si="12"/>
        <v>15</v>
      </c>
      <c r="AW22" s="2">
        <f t="shared" si="12"/>
        <v>15</v>
      </c>
      <c r="AX22" s="2">
        <f t="shared" si="12"/>
        <v>14</v>
      </c>
      <c r="AY22" s="2">
        <f t="shared" si="12"/>
        <v>10</v>
      </c>
      <c r="AZ22" s="2">
        <f t="shared" si="12"/>
        <v>5</v>
      </c>
      <c r="BA22" s="2">
        <f t="shared" si="12"/>
        <v>10</v>
      </c>
      <c r="BB22" s="2">
        <f t="shared" si="12"/>
        <v>15</v>
      </c>
      <c r="BC22" s="2">
        <f t="shared" si="12"/>
        <v>15</v>
      </c>
      <c r="BD22" s="2">
        <f t="shared" si="12"/>
        <v>15</v>
      </c>
      <c r="BE22" s="2">
        <f t="shared" si="12"/>
        <v>14</v>
      </c>
      <c r="BF22" s="2">
        <f t="shared" si="12"/>
        <v>10</v>
      </c>
      <c r="BG22" s="2">
        <f t="shared" si="12"/>
        <v>5</v>
      </c>
      <c r="BH22" s="2">
        <f t="shared" si="12"/>
        <v>10</v>
      </c>
      <c r="BI22" s="2">
        <f t="shared" si="12"/>
        <v>15</v>
      </c>
      <c r="BJ22" s="2">
        <f t="shared" si="12"/>
        <v>15</v>
      </c>
      <c r="BK22" s="2">
        <f t="shared" si="12"/>
        <v>15</v>
      </c>
      <c r="BL22" s="2">
        <f t="shared" si="12"/>
        <v>14</v>
      </c>
      <c r="BM22" s="2">
        <f t="shared" si="12"/>
        <v>10</v>
      </c>
      <c r="BN22" s="2">
        <f t="shared" si="12"/>
        <v>5</v>
      </c>
      <c r="BO22" s="2">
        <f t="shared" si="12"/>
        <v>10</v>
      </c>
      <c r="BP22" s="2">
        <f t="shared" si="12"/>
        <v>15</v>
      </c>
      <c r="BQ22" s="2">
        <f t="shared" si="12"/>
        <v>15</v>
      </c>
      <c r="BR22" s="2">
        <f t="shared" si="12"/>
        <v>15</v>
      </c>
      <c r="BS22" s="2">
        <f t="shared" si="12"/>
        <v>14</v>
      </c>
      <c r="BT22" s="2">
        <f t="shared" si="12"/>
        <v>10</v>
      </c>
      <c r="BU22" s="2">
        <f t="shared" si="12"/>
        <v>5</v>
      </c>
      <c r="BV22" s="2">
        <f t="shared" si="12"/>
        <v>10</v>
      </c>
      <c r="BW22" s="2">
        <f t="shared" ref="BW22:CM22" si="13">BP22</f>
        <v>15</v>
      </c>
      <c r="BX22" s="2">
        <f t="shared" si="13"/>
        <v>15</v>
      </c>
      <c r="BY22" s="2">
        <f t="shared" si="13"/>
        <v>15</v>
      </c>
      <c r="BZ22" s="2">
        <f t="shared" si="13"/>
        <v>14</v>
      </c>
      <c r="CA22" s="2">
        <f t="shared" si="13"/>
        <v>10</v>
      </c>
      <c r="CB22" s="2">
        <f t="shared" si="13"/>
        <v>5</v>
      </c>
      <c r="CC22" s="2">
        <f t="shared" si="13"/>
        <v>10</v>
      </c>
      <c r="CD22" s="2">
        <f t="shared" si="13"/>
        <v>15</v>
      </c>
      <c r="CE22" s="2">
        <f t="shared" si="13"/>
        <v>15</v>
      </c>
      <c r="CF22" s="2">
        <f t="shared" si="13"/>
        <v>15</v>
      </c>
      <c r="CG22" s="2">
        <f t="shared" si="13"/>
        <v>14</v>
      </c>
      <c r="CH22" s="2">
        <f t="shared" si="13"/>
        <v>10</v>
      </c>
      <c r="CI22" s="2">
        <f t="shared" si="13"/>
        <v>5</v>
      </c>
      <c r="CJ22" s="2">
        <f t="shared" si="13"/>
        <v>10</v>
      </c>
      <c r="CK22" s="2">
        <f t="shared" si="13"/>
        <v>15</v>
      </c>
      <c r="CL22" s="2">
        <f t="shared" si="13"/>
        <v>15</v>
      </c>
      <c r="CM22" s="2">
        <f t="shared" si="13"/>
        <v>15</v>
      </c>
      <c r="CN22" s="2">
        <f t="shared" ref="CN22" si="14">CG22</f>
        <v>14</v>
      </c>
      <c r="CO22" s="2">
        <f t="shared" ref="CO22" si="15">CH22</f>
        <v>10</v>
      </c>
      <c r="CP22" s="2">
        <f t="shared" ref="CP22" si="16">CI22</f>
        <v>5</v>
      </c>
      <c r="CQ22" s="2">
        <f t="shared" ref="CQ22" si="17">CJ22</f>
        <v>10</v>
      </c>
      <c r="CR22" s="2">
        <f t="shared" ref="CR22" si="18">CK22</f>
        <v>15</v>
      </c>
      <c r="CS22" s="2">
        <f t="shared" ref="CS22" si="19">CL22</f>
        <v>15</v>
      </c>
      <c r="CT22" s="2">
        <f t="shared" ref="CT22" si="20">CM22</f>
        <v>15</v>
      </c>
      <c r="CU22" s="2">
        <f t="shared" ref="CU22" si="21">CN22</f>
        <v>14</v>
      </c>
      <c r="CV22" s="2">
        <f t="shared" ref="CV22" si="22">CO22</f>
        <v>10</v>
      </c>
      <c r="CW22" s="2">
        <f t="shared" ref="CW22" si="23">CP22</f>
        <v>5</v>
      </c>
      <c r="CX22" s="2">
        <f t="shared" ref="CX22" si="24">CQ22</f>
        <v>10</v>
      </c>
      <c r="CY22" s="2">
        <f t="shared" ref="CY22" si="25">CR22</f>
        <v>15</v>
      </c>
      <c r="CZ22" s="2">
        <f t="shared" ref="CZ22" si="26">CS22</f>
        <v>15</v>
      </c>
      <c r="DA22" s="2">
        <f t="shared" ref="DA22" si="27">CT22</f>
        <v>15</v>
      </c>
      <c r="DB22" s="2">
        <f t="shared" ref="DB22" si="28">CU22</f>
        <v>14</v>
      </c>
      <c r="DC22" s="2">
        <f t="shared" ref="DC22" si="29">CV22</f>
        <v>10</v>
      </c>
      <c r="DD22" s="2">
        <f t="shared" ref="DD22" si="30">CW22</f>
        <v>5</v>
      </c>
      <c r="DE22" s="2">
        <f t="shared" ref="DE22" si="31">CX22</f>
        <v>10</v>
      </c>
      <c r="DF22" s="2">
        <f t="shared" ref="DF22" si="32">CY22</f>
        <v>15</v>
      </c>
      <c r="DG22" s="2">
        <f t="shared" ref="DG22" si="33">CZ22</f>
        <v>15</v>
      </c>
      <c r="DH22" s="2">
        <f t="shared" ref="DH22" si="34">DA22</f>
        <v>15</v>
      </c>
      <c r="DI22" s="2">
        <f t="shared" ref="DI22" si="35">DB22</f>
        <v>14</v>
      </c>
      <c r="DJ22" s="2">
        <f t="shared" ref="DJ22" si="36">DC22</f>
        <v>10</v>
      </c>
      <c r="DK22" s="2">
        <f t="shared" ref="DK22" si="37">DD22</f>
        <v>5</v>
      </c>
      <c r="DL22" s="2">
        <f t="shared" ref="DL22" si="38">DE22</f>
        <v>10</v>
      </c>
      <c r="DM22" s="2">
        <f t="shared" ref="DM22" si="39">DF22</f>
        <v>15</v>
      </c>
      <c r="DN22" s="2">
        <f t="shared" ref="DN22" si="40">DG22</f>
        <v>15</v>
      </c>
      <c r="DO22" s="2">
        <f t="shared" ref="DO22" si="41">DH22</f>
        <v>15</v>
      </c>
      <c r="DP22" s="2">
        <f t="shared" ref="DP22" si="42">DI22</f>
        <v>14</v>
      </c>
      <c r="DQ22" s="2">
        <f t="shared" ref="DQ22" si="43">DJ22</f>
        <v>10</v>
      </c>
      <c r="DR22" s="2">
        <f t="shared" ref="DR22" si="44">DK22</f>
        <v>5</v>
      </c>
      <c r="DS22" s="2">
        <f t="shared" ref="DS22" si="45">DL22</f>
        <v>10</v>
      </c>
      <c r="DT22" s="2">
        <f t="shared" ref="DT22" si="46">DM22</f>
        <v>15</v>
      </c>
      <c r="DU22" s="2">
        <f t="shared" ref="DU22" si="47">DN22</f>
        <v>15</v>
      </c>
      <c r="DV22" s="2">
        <f t="shared" ref="DV22" si="48">DO22</f>
        <v>15</v>
      </c>
      <c r="DW22" s="2">
        <f t="shared" ref="DW22" si="49">DP22</f>
        <v>14</v>
      </c>
      <c r="DX22" s="2">
        <f t="shared" ref="DX22" si="50">DQ22</f>
        <v>10</v>
      </c>
      <c r="DY22" s="2">
        <f t="shared" ref="DY22" si="51">DR22</f>
        <v>5</v>
      </c>
      <c r="DZ22" s="2">
        <f t="shared" ref="DZ22" si="52">DS22</f>
        <v>10</v>
      </c>
      <c r="EA22" s="2">
        <f t="shared" ref="EA22" si="53">DT22</f>
        <v>15</v>
      </c>
      <c r="EB22" s="2">
        <f t="shared" ref="EB22" si="54">DU22</f>
        <v>15</v>
      </c>
      <c r="EC22" s="2">
        <f t="shared" ref="EC22" si="55">DV22</f>
        <v>15</v>
      </c>
      <c r="ED22" s="2">
        <f t="shared" ref="ED22" si="56">DW22</f>
        <v>14</v>
      </c>
      <c r="EE22" s="2">
        <f t="shared" ref="EE22" si="57">DX22</f>
        <v>10</v>
      </c>
      <c r="EF22" s="2">
        <f t="shared" ref="EF22" si="58">DY22</f>
        <v>5</v>
      </c>
      <c r="EG22" s="2">
        <f t="shared" ref="EG22" si="59">DZ22</f>
        <v>10</v>
      </c>
      <c r="EH22" s="2">
        <f t="shared" ref="EH22" si="60">EA22</f>
        <v>15</v>
      </c>
      <c r="EI22" s="2">
        <f t="shared" ref="EI22" si="61">EB22</f>
        <v>15</v>
      </c>
      <c r="EJ22" s="2">
        <f t="shared" ref="EJ22" si="62">EC22</f>
        <v>15</v>
      </c>
      <c r="EK22" s="2">
        <f t="shared" ref="EK22" si="63">ED22</f>
        <v>14</v>
      </c>
      <c r="EL22" s="2">
        <f t="shared" ref="EL22" si="64">EE22</f>
        <v>10</v>
      </c>
      <c r="EM22" s="2">
        <f t="shared" ref="EM22" si="65">EF22</f>
        <v>5</v>
      </c>
      <c r="EN22" s="2">
        <f t="shared" ref="EN22" si="66">EG22</f>
        <v>10</v>
      </c>
      <c r="EO22" s="2">
        <f t="shared" ref="EO22" si="67">EH22</f>
        <v>15</v>
      </c>
      <c r="EP22" s="2">
        <f t="shared" ref="EP22" si="68">EI22</f>
        <v>15</v>
      </c>
      <c r="EQ22" s="2">
        <f t="shared" ref="EQ22" si="69">EJ22</f>
        <v>15</v>
      </c>
      <c r="ER22" s="2">
        <f t="shared" ref="ER22" si="70">EK22</f>
        <v>14</v>
      </c>
      <c r="ES22" s="2">
        <f t="shared" ref="ES22" si="71">EL22</f>
        <v>10</v>
      </c>
      <c r="ET22" s="2">
        <f t="shared" ref="ET22" si="72">EM22</f>
        <v>5</v>
      </c>
      <c r="EU22" s="2">
        <f t="shared" ref="EU22" si="73">EN22</f>
        <v>10</v>
      </c>
      <c r="EV22" s="2">
        <f t="shared" ref="EV22" si="74">EO22</f>
        <v>15</v>
      </c>
      <c r="EW22" s="2">
        <f t="shared" ref="EW22" si="75">EP22</f>
        <v>15</v>
      </c>
      <c r="EX22" s="2">
        <f t="shared" ref="EX22" si="76">EQ22</f>
        <v>15</v>
      </c>
      <c r="EY22" s="2">
        <f t="shared" ref="EY22" si="77">ER22</f>
        <v>14</v>
      </c>
      <c r="EZ22" s="2">
        <f t="shared" ref="EZ22" si="78">ES22</f>
        <v>10</v>
      </c>
      <c r="FA22" s="2">
        <f t="shared" ref="FA22" si="79">ET22</f>
        <v>5</v>
      </c>
      <c r="FB22" s="2">
        <f t="shared" ref="FB22" si="80">EU22</f>
        <v>10</v>
      </c>
      <c r="FC22" s="2">
        <f t="shared" ref="FC22" si="81">EV22</f>
        <v>15</v>
      </c>
      <c r="FD22" s="2">
        <f t="shared" ref="FD22" si="82">EW22</f>
        <v>15</v>
      </c>
      <c r="FE22" s="2">
        <f t="shared" ref="FE22" si="83">EX22</f>
        <v>15</v>
      </c>
      <c r="FF22" s="2">
        <f t="shared" ref="FF22" si="84">EY22</f>
        <v>14</v>
      </c>
      <c r="FG22" s="2">
        <f t="shared" ref="FG22" si="85">EZ22</f>
        <v>10</v>
      </c>
      <c r="FH22" s="2">
        <f t="shared" ref="FH22" si="86">FA22</f>
        <v>5</v>
      </c>
      <c r="FI22" s="2">
        <f t="shared" ref="FI22" si="87">FB22</f>
        <v>10</v>
      </c>
      <c r="FJ22" s="2">
        <f t="shared" ref="FJ22" si="88">FC22</f>
        <v>15</v>
      </c>
      <c r="FK22" s="2">
        <f t="shared" ref="FK22" si="89">FD22</f>
        <v>15</v>
      </c>
      <c r="FL22" s="2">
        <f t="shared" ref="FL22" si="90">FE22</f>
        <v>15</v>
      </c>
      <c r="FM22" s="2">
        <f t="shared" ref="FM22" si="91">FF22</f>
        <v>14</v>
      </c>
      <c r="FN22" s="2">
        <f t="shared" ref="FN22" si="92">FG22</f>
        <v>10</v>
      </c>
      <c r="FO22" s="2">
        <f t="shared" ref="FO22" si="93">FH22</f>
        <v>5</v>
      </c>
      <c r="FP22" s="2">
        <f t="shared" ref="FP22" si="94">FI22</f>
        <v>10</v>
      </c>
      <c r="FQ22" s="2">
        <f t="shared" ref="FQ22" si="95">FJ22</f>
        <v>15</v>
      </c>
      <c r="FR22" s="2">
        <f t="shared" ref="FR22" si="96">FK22</f>
        <v>15</v>
      </c>
      <c r="FS22" s="2">
        <f t="shared" ref="FS22" si="97">FL22</f>
        <v>15</v>
      </c>
      <c r="FT22" s="2">
        <f t="shared" ref="FT22" si="98">FM22</f>
        <v>14</v>
      </c>
      <c r="FU22" s="2">
        <f t="shared" ref="FU22" si="99">FN22</f>
        <v>10</v>
      </c>
      <c r="FV22" s="2">
        <f t="shared" ref="FV22" si="100">FO22</f>
        <v>5</v>
      </c>
      <c r="FW22" s="2">
        <f t="shared" ref="FW22" si="101">FP22</f>
        <v>10</v>
      </c>
      <c r="FX22" s="2">
        <f t="shared" ref="FX22" si="102">FQ22</f>
        <v>15</v>
      </c>
      <c r="FY22" s="2">
        <f t="shared" ref="FY22" si="103">FR22</f>
        <v>15</v>
      </c>
      <c r="FZ22" s="2">
        <f t="shared" ref="FZ22" si="104">FS22</f>
        <v>15</v>
      </c>
      <c r="GA22" s="2">
        <f t="shared" ref="GA22" si="105">FT22</f>
        <v>14</v>
      </c>
      <c r="GB22" s="2">
        <f t="shared" ref="GB22" si="106">FU22</f>
        <v>10</v>
      </c>
      <c r="GC22" s="2">
        <f t="shared" ref="GC22" si="107">FV22</f>
        <v>5</v>
      </c>
      <c r="GD22" s="2">
        <f t="shared" ref="GD22" si="108">FW22</f>
        <v>10</v>
      </c>
      <c r="GE22" s="2">
        <f t="shared" ref="GE22" si="109">FX22</f>
        <v>15</v>
      </c>
      <c r="GF22" s="2">
        <f t="shared" ref="GF22" si="110">FY22</f>
        <v>15</v>
      </c>
      <c r="GG22" s="2">
        <f t="shared" ref="GG22" si="111">FZ22</f>
        <v>15</v>
      </c>
      <c r="GH22" s="2">
        <f t="shared" ref="GH22" si="112">GA22</f>
        <v>14</v>
      </c>
      <c r="GI22" s="2">
        <f t="shared" ref="GI22" si="113">GB22</f>
        <v>10</v>
      </c>
      <c r="GJ22" s="2">
        <f t="shared" ref="GJ22" si="114">GC22</f>
        <v>5</v>
      </c>
      <c r="GK22" s="2">
        <f t="shared" ref="GK22" si="115">GD22</f>
        <v>10</v>
      </c>
      <c r="GL22" s="2">
        <f t="shared" ref="GL22" si="116">GE22</f>
        <v>15</v>
      </c>
      <c r="GM22" s="2">
        <f t="shared" ref="GM22" si="117">GF22</f>
        <v>15</v>
      </c>
      <c r="GN22" s="2">
        <f t="shared" ref="GN22" si="118">GG22</f>
        <v>15</v>
      </c>
      <c r="GO22" s="2">
        <f t="shared" ref="GO22" si="119">GH22</f>
        <v>14</v>
      </c>
      <c r="GP22" s="2">
        <f t="shared" ref="GP22" si="120">GI22</f>
        <v>10</v>
      </c>
      <c r="GQ22" s="2">
        <f t="shared" ref="GQ22" si="121">GJ22</f>
        <v>5</v>
      </c>
      <c r="GR22" s="2">
        <f t="shared" ref="GR22" si="122">GK22</f>
        <v>10</v>
      </c>
      <c r="GS22" s="2">
        <f t="shared" ref="GS22" si="123">GL22</f>
        <v>15</v>
      </c>
      <c r="GT22" s="2">
        <f t="shared" ref="GT22" si="124">GM22</f>
        <v>15</v>
      </c>
      <c r="GU22" s="2">
        <f t="shared" ref="GU22" si="125">GN22</f>
        <v>15</v>
      </c>
      <c r="GV22" s="2">
        <f t="shared" ref="GV22" si="126">GO22</f>
        <v>14</v>
      </c>
      <c r="GW22" s="2">
        <f t="shared" ref="GW22" si="127">GP22</f>
        <v>10</v>
      </c>
      <c r="GX22" s="2">
        <f t="shared" ref="GX22" si="128">GQ22</f>
        <v>5</v>
      </c>
      <c r="GY22" s="2">
        <f t="shared" ref="GY22" si="129">GR22</f>
        <v>10</v>
      </c>
      <c r="GZ22" s="2">
        <f t="shared" ref="GZ22" si="130">GS22</f>
        <v>15</v>
      </c>
      <c r="HA22" s="2">
        <f t="shared" ref="HA22" si="131">GT22</f>
        <v>15</v>
      </c>
      <c r="HB22" s="2">
        <f t="shared" ref="HB22" si="132">GU22</f>
        <v>15</v>
      </c>
      <c r="HC22" s="2">
        <f t="shared" ref="HC22" si="133">GV22</f>
        <v>14</v>
      </c>
      <c r="HD22" s="2">
        <f t="shared" ref="HD22" si="134">GW22</f>
        <v>10</v>
      </c>
      <c r="HE22" s="2">
        <f t="shared" ref="HE22" si="135">GX22</f>
        <v>5</v>
      </c>
      <c r="HF22" s="2">
        <f t="shared" ref="HF22" si="136">GY22</f>
        <v>10</v>
      </c>
      <c r="HG22" s="2">
        <f t="shared" ref="HG22" si="137">GZ22</f>
        <v>15</v>
      </c>
      <c r="HH22" s="2">
        <f t="shared" ref="HH22" si="138">HA22</f>
        <v>15</v>
      </c>
      <c r="HI22" s="2">
        <f t="shared" ref="HI22" si="139">HB22</f>
        <v>15</v>
      </c>
      <c r="HJ22" s="2">
        <f t="shared" ref="HJ22" si="140">HC22</f>
        <v>14</v>
      </c>
      <c r="HK22" s="2">
        <f t="shared" ref="HK22" si="141">HD22</f>
        <v>10</v>
      </c>
      <c r="HL22" s="2">
        <f t="shared" ref="HL22" si="142">HE22</f>
        <v>5</v>
      </c>
      <c r="HM22" s="2">
        <f t="shared" ref="HM22" si="143">HF22</f>
        <v>10</v>
      </c>
      <c r="HN22" s="2">
        <f t="shared" ref="HN22" si="144">HG22</f>
        <v>15</v>
      </c>
      <c r="HO22" s="2">
        <f t="shared" ref="HO22" si="145">HH22</f>
        <v>15</v>
      </c>
      <c r="HP22" s="2">
        <f t="shared" ref="HP22" si="146">HI22</f>
        <v>15</v>
      </c>
      <c r="HQ22" s="2">
        <f t="shared" ref="HQ22" si="147">HJ22</f>
        <v>14</v>
      </c>
      <c r="HR22" s="2">
        <f t="shared" ref="HR22" si="148">HK22</f>
        <v>10</v>
      </c>
      <c r="HS22" s="2">
        <f t="shared" ref="HS22" si="149">HL22</f>
        <v>5</v>
      </c>
      <c r="HT22" s="2">
        <f t="shared" ref="HT22" si="150">HM22</f>
        <v>10</v>
      </c>
      <c r="HU22" s="2">
        <f t="shared" ref="HU22" si="151">HN22</f>
        <v>15</v>
      </c>
      <c r="HV22" s="2">
        <f t="shared" ref="HV22" si="152">HO22</f>
        <v>15</v>
      </c>
      <c r="HW22" s="2">
        <f t="shared" ref="HW22" si="153">HP22</f>
        <v>15</v>
      </c>
      <c r="HX22" s="2">
        <f t="shared" ref="HX22" si="154">HQ22</f>
        <v>14</v>
      </c>
      <c r="HY22" s="2">
        <f t="shared" ref="HY22" si="155">HR22</f>
        <v>10</v>
      </c>
      <c r="HZ22" s="2">
        <f t="shared" ref="HZ22" si="156">HS22</f>
        <v>5</v>
      </c>
      <c r="IA22" s="2">
        <f t="shared" ref="IA22" si="157">HT22</f>
        <v>10</v>
      </c>
      <c r="IB22" s="2">
        <f t="shared" ref="IB22" si="158">HU22</f>
        <v>15</v>
      </c>
      <c r="IC22" s="2">
        <f t="shared" ref="IC22" si="159">HV22</f>
        <v>15</v>
      </c>
      <c r="ID22" s="2">
        <f t="shared" ref="ID22" si="160">HW22</f>
        <v>15</v>
      </c>
      <c r="IE22" s="2">
        <f t="shared" ref="IE22" si="161">HX22</f>
        <v>14</v>
      </c>
      <c r="IF22" s="2">
        <f t="shared" ref="IF22" si="162">HY22</f>
        <v>10</v>
      </c>
      <c r="IG22" s="2">
        <f t="shared" ref="IG22" si="163">HZ22</f>
        <v>5</v>
      </c>
      <c r="IH22" s="2">
        <f t="shared" ref="IH22" si="164">IA22</f>
        <v>10</v>
      </c>
      <c r="II22" s="2">
        <f t="shared" ref="II22" si="165">IB22</f>
        <v>15</v>
      </c>
      <c r="IJ22" s="2">
        <f t="shared" ref="IJ22" si="166">IC22</f>
        <v>15</v>
      </c>
      <c r="IK22" s="2">
        <f t="shared" ref="IK22" si="167">ID22</f>
        <v>15</v>
      </c>
      <c r="IL22" s="2">
        <f t="shared" ref="IL22" si="168">IE22</f>
        <v>14</v>
      </c>
      <c r="IM22" s="2">
        <f t="shared" ref="IM22" si="169">IF22</f>
        <v>10</v>
      </c>
      <c r="IN22" s="2">
        <f t="shared" ref="IN22" si="170">IG22</f>
        <v>5</v>
      </c>
      <c r="IO22" s="2">
        <f t="shared" ref="IO22" si="171">IH22</f>
        <v>10</v>
      </c>
      <c r="IP22" s="2">
        <f t="shared" ref="IP22" si="172">II22</f>
        <v>15</v>
      </c>
      <c r="IQ22" s="2">
        <f t="shared" ref="IQ22" si="173">IJ22</f>
        <v>15</v>
      </c>
      <c r="IR22" s="2">
        <f t="shared" ref="IR22" si="174">IK22</f>
        <v>15</v>
      </c>
      <c r="IS22" s="2">
        <f t="shared" ref="IS22" si="175">IL22</f>
        <v>14</v>
      </c>
      <c r="IT22" s="2">
        <f t="shared" ref="IT22" si="176">IM22</f>
        <v>10</v>
      </c>
      <c r="IU22" s="2">
        <f t="shared" ref="IU22" si="177">IN22</f>
        <v>5</v>
      </c>
      <c r="IV22" s="2">
        <f t="shared" ref="IV22" si="178">IO22</f>
        <v>10</v>
      </c>
      <c r="IW22" s="2">
        <f t="shared" ref="IW22" si="179">IP22</f>
        <v>15</v>
      </c>
      <c r="IX22" s="2">
        <f t="shared" ref="IX22" si="180">IQ22</f>
        <v>15</v>
      </c>
      <c r="IY22" s="2">
        <f t="shared" ref="IY22" si="181">IR22</f>
        <v>15</v>
      </c>
      <c r="IZ22" s="2">
        <f t="shared" ref="IZ22" si="182">IS22</f>
        <v>14</v>
      </c>
      <c r="JA22" s="2">
        <f t="shared" ref="JA22" si="183">IT22</f>
        <v>10</v>
      </c>
      <c r="JB22" s="2">
        <f t="shared" ref="JB22" si="184">IU22</f>
        <v>5</v>
      </c>
      <c r="JC22" s="2">
        <f t="shared" ref="JC22" si="185">IV22</f>
        <v>10</v>
      </c>
      <c r="JD22" s="2">
        <f t="shared" ref="JD22" si="186">IW22</f>
        <v>15</v>
      </c>
      <c r="JE22" s="2">
        <f t="shared" ref="JE22" si="187">IX22</f>
        <v>15</v>
      </c>
      <c r="JF22" s="2">
        <f t="shared" ref="JF22" si="188">IY22</f>
        <v>15</v>
      </c>
      <c r="JG22" s="2">
        <f t="shared" ref="JG22" si="189">IZ22</f>
        <v>14</v>
      </c>
      <c r="JH22" s="2">
        <f t="shared" ref="JH22" si="190">JA22</f>
        <v>10</v>
      </c>
      <c r="JI22" s="2">
        <f t="shared" ref="JI22" si="191">JB22</f>
        <v>5</v>
      </c>
      <c r="JJ22" s="2">
        <f t="shared" ref="JJ22" si="192">JC22</f>
        <v>10</v>
      </c>
      <c r="JK22" s="2">
        <f t="shared" ref="JK22" si="193">JD22</f>
        <v>15</v>
      </c>
      <c r="JL22" s="2">
        <f t="shared" ref="JL22" si="194">JE22</f>
        <v>15</v>
      </c>
      <c r="JM22" s="2">
        <f t="shared" ref="JM22" si="195">JF22</f>
        <v>15</v>
      </c>
      <c r="JN22" s="2">
        <f t="shared" ref="JN22" si="196">JG22</f>
        <v>14</v>
      </c>
      <c r="JO22" s="2">
        <f t="shared" ref="JO22" si="197">JH22</f>
        <v>10</v>
      </c>
      <c r="JP22" s="2">
        <f t="shared" ref="JP22" si="198">JI22</f>
        <v>5</v>
      </c>
      <c r="JQ22" s="2">
        <f t="shared" ref="JQ22" si="199">JJ22</f>
        <v>10</v>
      </c>
      <c r="JR22" s="2">
        <f t="shared" ref="JR22" si="200">JK22</f>
        <v>15</v>
      </c>
      <c r="JS22" s="2">
        <f t="shared" ref="JS22" si="201">JL22</f>
        <v>15</v>
      </c>
      <c r="JT22" s="2">
        <f t="shared" ref="JT22" si="202">JM22</f>
        <v>15</v>
      </c>
      <c r="JU22" s="2">
        <f t="shared" ref="JU22" si="203">JN22</f>
        <v>14</v>
      </c>
      <c r="JV22" s="2">
        <f t="shared" ref="JV22" si="204">JO22</f>
        <v>10</v>
      </c>
      <c r="JW22" s="2">
        <f t="shared" ref="JW22" si="205">JP22</f>
        <v>5</v>
      </c>
      <c r="JX22" s="2">
        <f t="shared" ref="JX22" si="206">JQ22</f>
        <v>10</v>
      </c>
      <c r="JY22" s="2">
        <f t="shared" ref="JY22" si="207">JR22</f>
        <v>15</v>
      </c>
      <c r="JZ22" s="2">
        <f t="shared" ref="JZ22" si="208">JS22</f>
        <v>15</v>
      </c>
      <c r="KA22" s="2">
        <f t="shared" ref="KA22" si="209">JT22</f>
        <v>15</v>
      </c>
      <c r="KB22" s="2">
        <f t="shared" ref="KB22" si="210">JU22</f>
        <v>14</v>
      </c>
      <c r="KC22" s="2">
        <f t="shared" ref="KC22" si="211">JV22</f>
        <v>10</v>
      </c>
      <c r="KD22" s="2">
        <f t="shared" ref="KD22" si="212">JW22</f>
        <v>5</v>
      </c>
      <c r="KE22" s="2">
        <f t="shared" ref="KE22" si="213">JX22</f>
        <v>10</v>
      </c>
      <c r="KF22" s="2">
        <f t="shared" ref="KF22" si="214">JY22</f>
        <v>15</v>
      </c>
      <c r="KG22" s="2">
        <f t="shared" ref="KG22" si="215">JZ22</f>
        <v>15</v>
      </c>
      <c r="KH22" s="2">
        <f t="shared" ref="KH22" si="216">KA22</f>
        <v>15</v>
      </c>
      <c r="KI22" s="2">
        <f t="shared" ref="KI22" si="217">KB22</f>
        <v>14</v>
      </c>
      <c r="KJ22" s="2">
        <f t="shared" ref="KJ22" si="218">KC22</f>
        <v>10</v>
      </c>
      <c r="KK22" s="2">
        <f t="shared" ref="KK22" si="219">KD22</f>
        <v>5</v>
      </c>
      <c r="KL22" s="2">
        <f t="shared" ref="KL22" si="220">KE22</f>
        <v>10</v>
      </c>
      <c r="KM22" s="2">
        <f t="shared" ref="KM22" si="221">KF22</f>
        <v>15</v>
      </c>
      <c r="KN22" s="2">
        <f t="shared" ref="KN22" si="222">KG22</f>
        <v>15</v>
      </c>
      <c r="KO22" s="2">
        <f t="shared" ref="KO22" si="223">KH22</f>
        <v>15</v>
      </c>
      <c r="KP22" s="2">
        <f t="shared" ref="KP22" si="224">KI22</f>
        <v>14</v>
      </c>
      <c r="KQ22" s="2">
        <f t="shared" ref="KQ22" si="225">KJ22</f>
        <v>10</v>
      </c>
      <c r="KR22" s="2">
        <f t="shared" ref="KR22" si="226">KK22</f>
        <v>5</v>
      </c>
      <c r="KS22" s="2">
        <f t="shared" ref="KS22" si="227">KL22</f>
        <v>10</v>
      </c>
      <c r="KT22" s="2">
        <f t="shared" ref="KT22" si="228">KM22</f>
        <v>15</v>
      </c>
      <c r="KU22" s="2">
        <f t="shared" ref="KU22" si="229">KN22</f>
        <v>15</v>
      </c>
      <c r="KV22" s="2">
        <f t="shared" ref="KV22" si="230">KO22</f>
        <v>15</v>
      </c>
      <c r="KW22" s="2">
        <f t="shared" ref="KW22" si="231">KP22</f>
        <v>14</v>
      </c>
      <c r="KX22" s="2">
        <f t="shared" ref="KX22" si="232">KQ22</f>
        <v>10</v>
      </c>
      <c r="KY22" s="2">
        <f t="shared" ref="KY22" si="233">KR22</f>
        <v>5</v>
      </c>
      <c r="KZ22" s="2">
        <f t="shared" ref="KZ22" si="234">KS22</f>
        <v>10</v>
      </c>
      <c r="LA22" s="2">
        <f t="shared" ref="LA22" si="235">KT22</f>
        <v>15</v>
      </c>
      <c r="LB22" s="2">
        <f t="shared" ref="LB22" si="236">KU22</f>
        <v>15</v>
      </c>
      <c r="LC22" s="2">
        <f t="shared" ref="LC22" si="237">KV22</f>
        <v>15</v>
      </c>
      <c r="LD22" s="2">
        <f t="shared" ref="LD22" si="238">KW22</f>
        <v>14</v>
      </c>
      <c r="LE22" s="2">
        <f t="shared" ref="LE22" si="239">KX22</f>
        <v>10</v>
      </c>
      <c r="LF22" s="2">
        <f t="shared" ref="LF22" si="240">KY22</f>
        <v>5</v>
      </c>
      <c r="LG22" s="2">
        <f t="shared" ref="LG22" si="241">KZ22</f>
        <v>10</v>
      </c>
      <c r="LH22" s="2">
        <f t="shared" ref="LH22" si="242">LA22</f>
        <v>15</v>
      </c>
      <c r="LI22" s="2">
        <f t="shared" ref="LI22" si="243">LB22</f>
        <v>15</v>
      </c>
      <c r="LJ22" s="2">
        <f t="shared" ref="LJ22" si="244">LC22</f>
        <v>15</v>
      </c>
      <c r="LK22" s="2">
        <f t="shared" ref="LK22" si="245">LD22</f>
        <v>14</v>
      </c>
      <c r="LL22" s="2">
        <f t="shared" ref="LL22" si="246">LE22</f>
        <v>10</v>
      </c>
      <c r="LM22" s="2">
        <f t="shared" ref="LM22" si="247">LF22</f>
        <v>5</v>
      </c>
      <c r="LN22" s="2">
        <f t="shared" ref="LN22" si="248">LG22</f>
        <v>10</v>
      </c>
      <c r="LO22" s="2">
        <f t="shared" ref="LO22" si="249">LH22</f>
        <v>15</v>
      </c>
      <c r="LP22" s="2">
        <f t="shared" ref="LP22" si="250">LI22</f>
        <v>15</v>
      </c>
      <c r="LQ22" s="2">
        <f t="shared" ref="LQ22" si="251">LJ22</f>
        <v>15</v>
      </c>
      <c r="LR22" s="2">
        <f t="shared" ref="LR22" si="252">LK22</f>
        <v>14</v>
      </c>
      <c r="LS22" s="2">
        <f t="shared" ref="LS22" si="253">LL22</f>
        <v>10</v>
      </c>
      <c r="LT22" s="2">
        <f t="shared" ref="LT22" si="254">LM22</f>
        <v>5</v>
      </c>
      <c r="LU22" s="2">
        <f t="shared" ref="LU22" si="255">LN22</f>
        <v>10</v>
      </c>
      <c r="LV22" s="2">
        <f t="shared" ref="LV22" si="256">LO22</f>
        <v>15</v>
      </c>
      <c r="LW22" s="2">
        <f t="shared" ref="LW22" si="257">LP22</f>
        <v>15</v>
      </c>
      <c r="LX22" s="2">
        <f t="shared" ref="LX22" si="258">LQ22</f>
        <v>15</v>
      </c>
      <c r="LY22" s="2">
        <f t="shared" ref="LY22" si="259">LR22</f>
        <v>14</v>
      </c>
      <c r="LZ22" s="2">
        <f t="shared" ref="LZ22" si="260">LS22</f>
        <v>10</v>
      </c>
      <c r="MA22" s="2">
        <f t="shared" ref="MA22" si="261">LT22</f>
        <v>5</v>
      </c>
      <c r="MB22" s="2">
        <f t="shared" ref="MB22" si="262">LU22</f>
        <v>10</v>
      </c>
      <c r="MC22" s="2">
        <f t="shared" ref="MC22" si="263">LV22</f>
        <v>15</v>
      </c>
      <c r="MD22" s="2">
        <f t="shared" ref="MD22" si="264">LW22</f>
        <v>15</v>
      </c>
      <c r="ME22" s="2">
        <f t="shared" ref="ME22" si="265">LX22</f>
        <v>15</v>
      </c>
      <c r="MF22" s="2">
        <f t="shared" ref="MF22" si="266">LY22</f>
        <v>14</v>
      </c>
      <c r="MG22" s="2">
        <f t="shared" ref="MG22" si="267">LZ22</f>
        <v>10</v>
      </c>
      <c r="MH22" s="2">
        <f t="shared" ref="MH22" si="268">MA22</f>
        <v>5</v>
      </c>
      <c r="MI22" s="2">
        <f t="shared" ref="MI22" si="269">MB22</f>
        <v>10</v>
      </c>
      <c r="MJ22" s="2">
        <f t="shared" ref="MJ22" si="270">MC22</f>
        <v>15</v>
      </c>
      <c r="MK22" s="2">
        <f t="shared" ref="MK22" si="271">MD22</f>
        <v>15</v>
      </c>
      <c r="ML22" s="2">
        <f t="shared" ref="ML22" si="272">ME22</f>
        <v>15</v>
      </c>
      <c r="MM22" s="2">
        <f t="shared" ref="MM22" si="273">MF22</f>
        <v>14</v>
      </c>
      <c r="MN22" s="2">
        <f t="shared" ref="MN22" si="274">MG22</f>
        <v>10</v>
      </c>
      <c r="MO22" s="2">
        <f t="shared" ref="MO22" si="275">MH22</f>
        <v>5</v>
      </c>
      <c r="MP22" s="2">
        <f t="shared" ref="MP22" si="276">MI22</f>
        <v>10</v>
      </c>
      <c r="MQ22" s="2">
        <f t="shared" ref="MQ22" si="277">MJ22</f>
        <v>15</v>
      </c>
      <c r="MR22" s="2">
        <f t="shared" ref="MR22" si="278">MK22</f>
        <v>15</v>
      </c>
      <c r="MS22" s="2">
        <f t="shared" ref="MS22" si="279">ML22</f>
        <v>15</v>
      </c>
      <c r="MT22" s="2">
        <f t="shared" ref="MT22" si="280">MM22</f>
        <v>14</v>
      </c>
      <c r="MU22" s="2">
        <f t="shared" ref="MU22" si="281">MN22</f>
        <v>10</v>
      </c>
      <c r="MV22" s="2">
        <f t="shared" ref="MV22" si="282">MO22</f>
        <v>5</v>
      </c>
      <c r="MW22" s="2">
        <f t="shared" ref="MW22" si="283">MP22</f>
        <v>10</v>
      </c>
      <c r="MX22" s="2">
        <f t="shared" ref="MX22" si="284">MQ22</f>
        <v>15</v>
      </c>
      <c r="MY22" s="2">
        <f t="shared" ref="MY22" si="285">MR22</f>
        <v>15</v>
      </c>
      <c r="MZ22" s="2">
        <f t="shared" ref="MZ22" si="286">MS22</f>
        <v>15</v>
      </c>
      <c r="NA22" s="2">
        <f t="shared" ref="NA22" si="287">MT22</f>
        <v>14</v>
      </c>
      <c r="NB22" s="2">
        <f t="shared" ref="NB22" si="288">MU22</f>
        <v>10</v>
      </c>
      <c r="NC22" s="2">
        <f t="shared" ref="NC22" si="289">MV22</f>
        <v>5</v>
      </c>
      <c r="ND22" s="2">
        <f t="shared" ref="ND22" si="290">MW22</f>
        <v>10</v>
      </c>
      <c r="NE22" s="2">
        <f t="shared" ref="NE22" si="291">MX22</f>
        <v>15</v>
      </c>
      <c r="NF22" s="2">
        <f t="shared" ref="NF22" si="292">MY22</f>
        <v>15</v>
      </c>
      <c r="NG22" s="2">
        <f t="shared" ref="NG22" si="293">MZ22</f>
        <v>15</v>
      </c>
      <c r="NH22" s="2">
        <f t="shared" ref="NH22" si="294">NA22</f>
        <v>14</v>
      </c>
      <c r="NI22" s="2">
        <f t="shared" ref="NI22" si="295">NB22</f>
        <v>10</v>
      </c>
      <c r="NJ22" s="2">
        <f t="shared" ref="NJ22" si="296">NC22</f>
        <v>5</v>
      </c>
      <c r="NK22" s="2">
        <f t="shared" ref="NK22" si="297">ND22</f>
        <v>10</v>
      </c>
      <c r="NL22" s="2">
        <f t="shared" ref="NL22" si="298">NE22</f>
        <v>15</v>
      </c>
      <c r="NM22" s="2">
        <f t="shared" ref="NM22" si="299">NF22</f>
        <v>15</v>
      </c>
      <c r="NN22" s="2">
        <f t="shared" ref="NN22" si="300">NG22</f>
        <v>15</v>
      </c>
      <c r="NO22" s="2">
        <f t="shared" ref="NO22" si="301">NH22</f>
        <v>14</v>
      </c>
      <c r="NP22" s="2">
        <f t="shared" ref="NP22" si="302">NI22</f>
        <v>10</v>
      </c>
      <c r="NQ22" s="2">
        <f t="shared" ref="NQ22" si="303">NJ22</f>
        <v>5</v>
      </c>
      <c r="NR22" s="2">
        <f t="shared" ref="NR22" si="304">NK22</f>
        <v>10</v>
      </c>
      <c r="NS22" s="2">
        <f t="shared" ref="NS22" si="305">NL22</f>
        <v>15</v>
      </c>
      <c r="NT22" s="2">
        <f t="shared" ref="NT22" si="306">NM22</f>
        <v>15</v>
      </c>
      <c r="NU22" s="2">
        <f t="shared" ref="NU22" si="307">NN22</f>
        <v>15</v>
      </c>
      <c r="NV22" s="2">
        <f t="shared" ref="NV22" si="308">NO22</f>
        <v>14</v>
      </c>
      <c r="NW22" s="2">
        <f t="shared" ref="NW22" si="309">NP22</f>
        <v>10</v>
      </c>
      <c r="NX22" s="2">
        <f t="shared" ref="NX22" si="310">NQ22</f>
        <v>5</v>
      </c>
      <c r="NY22" s="2">
        <f t="shared" ref="NY22" si="311">NR22</f>
        <v>10</v>
      </c>
      <c r="NZ22" s="2">
        <f t="shared" ref="NZ22" si="312">NS22</f>
        <v>15</v>
      </c>
      <c r="OA22" s="2">
        <f t="shared" ref="OA22" si="313">NT22</f>
        <v>15</v>
      </c>
      <c r="OB22" s="2">
        <f t="shared" ref="OB22" si="314">NU22</f>
        <v>15</v>
      </c>
      <c r="OC22" s="2">
        <f t="shared" ref="OC22" si="315">NV22</f>
        <v>14</v>
      </c>
      <c r="OD22" s="2">
        <f t="shared" ref="OD22" si="316">NW22</f>
        <v>10</v>
      </c>
      <c r="OE22" s="2">
        <f t="shared" ref="OE22" si="317">NX22</f>
        <v>5</v>
      </c>
      <c r="OF22" s="2">
        <f t="shared" ref="OF22" si="318">NY22</f>
        <v>10</v>
      </c>
      <c r="OG22" s="2">
        <f t="shared" ref="OG22" si="319">NZ22</f>
        <v>15</v>
      </c>
      <c r="OH22" s="2">
        <f t="shared" ref="OH22" si="320">OA22</f>
        <v>15</v>
      </c>
      <c r="OI22" s="2">
        <f t="shared" ref="OI22" si="321">OB22</f>
        <v>15</v>
      </c>
      <c r="OJ22" s="2">
        <f t="shared" ref="OJ22" si="322">OC22</f>
        <v>14</v>
      </c>
      <c r="OK22" s="2">
        <f t="shared" ref="OK22" si="323">OD22</f>
        <v>10</v>
      </c>
      <c r="OL22" s="2">
        <f t="shared" ref="OL22" si="324">OE22</f>
        <v>5</v>
      </c>
      <c r="OM22" s="2">
        <f t="shared" ref="OM22" si="325">OF22</f>
        <v>10</v>
      </c>
      <c r="ON22" s="2">
        <f t="shared" ref="ON22" si="326">OG22</f>
        <v>15</v>
      </c>
      <c r="OO22" s="2">
        <f t="shared" ref="OO22" si="327">OH22</f>
        <v>15</v>
      </c>
      <c r="OP22" s="2">
        <f t="shared" ref="OP22" si="328">OI22</f>
        <v>15</v>
      </c>
      <c r="OQ22" s="2">
        <f t="shared" ref="OQ22" si="329">OJ22</f>
        <v>14</v>
      </c>
      <c r="OR22" s="2">
        <f t="shared" ref="OR22" si="330">OK22</f>
        <v>10</v>
      </c>
      <c r="OS22" s="2">
        <f t="shared" ref="OS22" si="331">OL22</f>
        <v>5</v>
      </c>
      <c r="OT22" s="2">
        <f t="shared" ref="OT22" si="332">OM22</f>
        <v>10</v>
      </c>
      <c r="OU22" s="2">
        <f t="shared" ref="OU22" si="333">ON22</f>
        <v>15</v>
      </c>
      <c r="OV22" s="2">
        <f t="shared" ref="OV22" si="334">OO22</f>
        <v>15</v>
      </c>
      <c r="OW22" s="2">
        <f t="shared" ref="OW22" si="335">OP22</f>
        <v>15</v>
      </c>
      <c r="OX22" s="2">
        <f t="shared" ref="OX22" si="336">OQ22</f>
        <v>14</v>
      </c>
      <c r="OY22" s="2">
        <f t="shared" ref="OY22" si="337">OR22</f>
        <v>10</v>
      </c>
      <c r="OZ22" s="2">
        <f t="shared" ref="OZ22" si="338">OS22</f>
        <v>5</v>
      </c>
      <c r="PA22" s="2">
        <f t="shared" ref="PA22" si="339">OT22</f>
        <v>10</v>
      </c>
      <c r="PB22" s="2">
        <f t="shared" ref="PB22" si="340">OU22</f>
        <v>15</v>
      </c>
      <c r="PC22" s="2">
        <f t="shared" ref="PC22" si="341">OV22</f>
        <v>15</v>
      </c>
      <c r="PD22" s="2">
        <f t="shared" ref="PD22" si="342">OW22</f>
        <v>15</v>
      </c>
      <c r="PE22" s="2">
        <f t="shared" ref="PE22" si="343">OX22</f>
        <v>14</v>
      </c>
      <c r="PF22" s="2">
        <f t="shared" ref="PF22" si="344">OY22</f>
        <v>10</v>
      </c>
      <c r="PG22" s="2">
        <f t="shared" ref="PG22" si="345">OZ22</f>
        <v>5</v>
      </c>
      <c r="PH22" s="2">
        <f t="shared" ref="PH22" si="346">PA22</f>
        <v>10</v>
      </c>
      <c r="PI22" s="2">
        <f t="shared" ref="PI22" si="347">PB22</f>
        <v>15</v>
      </c>
      <c r="PJ22" s="2">
        <f t="shared" ref="PJ22" si="348">PC22</f>
        <v>15</v>
      </c>
      <c r="PK22" s="2">
        <f t="shared" ref="PK22" si="349">PD22</f>
        <v>15</v>
      </c>
      <c r="PL22" s="2">
        <f t="shared" ref="PL22" si="350">PE22</f>
        <v>14</v>
      </c>
      <c r="PM22" s="2">
        <f t="shared" ref="PM22" si="351">PF22</f>
        <v>10</v>
      </c>
      <c r="PN22" s="2">
        <f t="shared" ref="PN22" si="352">PG22</f>
        <v>5</v>
      </c>
      <c r="PO22" s="2">
        <f t="shared" ref="PO22" si="353">PH22</f>
        <v>10</v>
      </c>
      <c r="PP22" s="2">
        <f t="shared" ref="PP22" si="354">PI22</f>
        <v>15</v>
      </c>
      <c r="PQ22" s="2">
        <f t="shared" ref="PQ22" si="355">PJ22</f>
        <v>15</v>
      </c>
      <c r="PR22" s="2">
        <f t="shared" ref="PR22" si="356">PK22</f>
        <v>15</v>
      </c>
      <c r="PS22" s="2">
        <f t="shared" ref="PS22" si="357">PL22</f>
        <v>14</v>
      </c>
      <c r="PT22" s="2">
        <f t="shared" ref="PT22" si="358">PM22</f>
        <v>10</v>
      </c>
      <c r="PU22" s="2">
        <f t="shared" ref="PU22" si="359">PN22</f>
        <v>5</v>
      </c>
      <c r="PV22" s="2">
        <f t="shared" ref="PV22" si="360">PO22</f>
        <v>10</v>
      </c>
      <c r="PW22" s="2">
        <f t="shared" ref="PW22" si="361">PP22</f>
        <v>15</v>
      </c>
      <c r="PX22" s="2">
        <f t="shared" ref="PX22" si="362">PQ22</f>
        <v>15</v>
      </c>
      <c r="PY22" s="2">
        <f t="shared" ref="PY22" si="363">PR22</f>
        <v>15</v>
      </c>
      <c r="PZ22" s="2">
        <f t="shared" ref="PZ22" si="364">PS22</f>
        <v>14</v>
      </c>
      <c r="QA22" s="2">
        <f t="shared" ref="QA22" si="365">PT22</f>
        <v>10</v>
      </c>
      <c r="QB22" s="2">
        <f t="shared" ref="QB22" si="366">PU22</f>
        <v>5</v>
      </c>
      <c r="QC22" s="2">
        <f t="shared" ref="QC22" si="367">PV22</f>
        <v>10</v>
      </c>
      <c r="QD22" s="2">
        <f t="shared" ref="QD22" si="368">PW22</f>
        <v>15</v>
      </c>
      <c r="QE22" s="2">
        <f t="shared" ref="QE22" si="369">PX22</f>
        <v>15</v>
      </c>
      <c r="QF22" s="2">
        <f t="shared" ref="QF22" si="370">PY22</f>
        <v>15</v>
      </c>
      <c r="QG22" s="2">
        <f t="shared" ref="QG22" si="371">PZ22</f>
        <v>14</v>
      </c>
      <c r="QH22" s="2">
        <f t="shared" ref="QH22" si="372">QA22</f>
        <v>10</v>
      </c>
      <c r="QI22" s="2">
        <f t="shared" ref="QI22" si="373">QB22</f>
        <v>5</v>
      </c>
      <c r="QJ22" s="2">
        <f t="shared" ref="QJ22" si="374">QC22</f>
        <v>10</v>
      </c>
      <c r="QK22" s="2">
        <f t="shared" ref="QK22" si="375">QD22</f>
        <v>15</v>
      </c>
      <c r="QL22" s="2">
        <f t="shared" ref="QL22" si="376">QE22</f>
        <v>15</v>
      </c>
      <c r="QM22" s="2">
        <f t="shared" ref="QM22" si="377">QF22</f>
        <v>15</v>
      </c>
      <c r="QN22" s="2">
        <f t="shared" ref="QN22" si="378">QG22</f>
        <v>14</v>
      </c>
      <c r="QO22" s="2">
        <f t="shared" ref="QO22" si="379">QH22</f>
        <v>10</v>
      </c>
      <c r="QP22" s="2">
        <f t="shared" ref="QP22" si="380">QI22</f>
        <v>5</v>
      </c>
      <c r="QQ22" s="2">
        <f t="shared" ref="QQ22" si="381">QJ22</f>
        <v>10</v>
      </c>
      <c r="QR22" s="2">
        <f t="shared" ref="QR22" si="382">QK22</f>
        <v>15</v>
      </c>
      <c r="QS22" s="2">
        <f t="shared" ref="QS22" si="383">QL22</f>
        <v>15</v>
      </c>
      <c r="QT22" s="2">
        <f t="shared" ref="QT22" si="384">QM22</f>
        <v>15</v>
      </c>
      <c r="QU22" s="2">
        <f t="shared" ref="QU22" si="385">QN22</f>
        <v>14</v>
      </c>
      <c r="QV22" s="2">
        <f t="shared" ref="QV22" si="386">QO22</f>
        <v>10</v>
      </c>
      <c r="QW22" s="2">
        <f t="shared" ref="QW22" si="387">QP22</f>
        <v>5</v>
      </c>
      <c r="QX22" s="2">
        <f t="shared" ref="QX22" si="388">QQ22</f>
        <v>10</v>
      </c>
      <c r="QY22" s="2">
        <f t="shared" ref="QY22" si="389">QR22</f>
        <v>15</v>
      </c>
      <c r="QZ22" s="2">
        <f t="shared" ref="QZ22" si="390">QS22</f>
        <v>15</v>
      </c>
      <c r="RA22" s="2">
        <f t="shared" ref="RA22" si="391">QT22</f>
        <v>15</v>
      </c>
      <c r="RB22" s="2">
        <f t="shared" ref="RB22" si="392">QU22</f>
        <v>14</v>
      </c>
      <c r="RC22" s="2">
        <f t="shared" ref="RC22" si="393">QV22</f>
        <v>10</v>
      </c>
      <c r="RD22" s="2">
        <f t="shared" ref="RD22" si="394">QW22</f>
        <v>5</v>
      </c>
      <c r="RE22" s="2">
        <f t="shared" ref="RE22" si="395">QX22</f>
        <v>10</v>
      </c>
      <c r="RF22" s="2">
        <f t="shared" ref="RF22" si="396">QY22</f>
        <v>15</v>
      </c>
      <c r="RG22" s="2">
        <f t="shared" ref="RG22" si="397">QZ22</f>
        <v>15</v>
      </c>
      <c r="RH22" s="2">
        <f t="shared" ref="RH22" si="398">RA22</f>
        <v>15</v>
      </c>
      <c r="RI22" s="2">
        <f t="shared" ref="RI22" si="399">RB22</f>
        <v>14</v>
      </c>
      <c r="RJ22" s="2">
        <f t="shared" ref="RJ22" si="400">RC22</f>
        <v>10</v>
      </c>
      <c r="RK22" s="2">
        <f t="shared" ref="RK22" si="401">RD22</f>
        <v>5</v>
      </c>
      <c r="RL22" s="2">
        <f t="shared" ref="RL22" si="402">RE22</f>
        <v>10</v>
      </c>
      <c r="RM22" s="2">
        <f t="shared" ref="RM22" si="403">RF22</f>
        <v>15</v>
      </c>
      <c r="RN22" s="2">
        <f t="shared" ref="RN22" si="404">RG22</f>
        <v>15</v>
      </c>
      <c r="RO22" s="2">
        <f t="shared" ref="RO22" si="405">RH22</f>
        <v>15</v>
      </c>
      <c r="RP22" s="2">
        <f t="shared" ref="RP22" si="406">RI22</f>
        <v>14</v>
      </c>
      <c r="RQ22" s="2">
        <f t="shared" ref="RQ22" si="407">RJ22</f>
        <v>10</v>
      </c>
      <c r="RR22" s="2">
        <f t="shared" ref="RR22" si="408">RK22</f>
        <v>5</v>
      </c>
      <c r="RS22" s="2">
        <f t="shared" ref="RS22" si="409">RL22</f>
        <v>10</v>
      </c>
      <c r="RT22" s="2">
        <f t="shared" ref="RT22" si="410">RM22</f>
        <v>15</v>
      </c>
      <c r="RU22" s="2">
        <f t="shared" ref="RU22" si="411">RN22</f>
        <v>15</v>
      </c>
      <c r="RV22" s="2">
        <f t="shared" ref="RV22" si="412">RO22</f>
        <v>15</v>
      </c>
      <c r="RW22" s="2">
        <f t="shared" ref="RW22" si="413">RP22</f>
        <v>14</v>
      </c>
      <c r="RX22" s="2">
        <f t="shared" ref="RX22" si="414">RQ22</f>
        <v>10</v>
      </c>
      <c r="RY22" s="2">
        <f t="shared" ref="RY22" si="415">RR22</f>
        <v>5</v>
      </c>
      <c r="RZ22" s="2">
        <f t="shared" ref="RZ22" si="416">RS22</f>
        <v>10</v>
      </c>
      <c r="SA22" s="2">
        <f t="shared" ref="SA22" si="417">RT22</f>
        <v>15</v>
      </c>
      <c r="SB22" s="2">
        <f t="shared" ref="SB22" si="418">RU22</f>
        <v>15</v>
      </c>
      <c r="SC22" s="2">
        <f t="shared" ref="SC22" si="419">RV22</f>
        <v>15</v>
      </c>
      <c r="SD22" s="2">
        <f t="shared" ref="SD22" si="420">RW22</f>
        <v>14</v>
      </c>
      <c r="SE22" s="2">
        <f t="shared" ref="SE22" si="421">RX22</f>
        <v>10</v>
      </c>
      <c r="SF22" s="2">
        <f t="shared" ref="SF22" si="422">RY22</f>
        <v>5</v>
      </c>
      <c r="SG22" s="2">
        <f t="shared" ref="SG22" si="423">RZ22</f>
        <v>10</v>
      </c>
      <c r="SH22" s="2">
        <f t="shared" ref="SH22" si="424">SA22</f>
        <v>15</v>
      </c>
      <c r="SI22" s="2">
        <f t="shared" ref="SI22" si="425">SB22</f>
        <v>15</v>
      </c>
      <c r="SJ22" s="2">
        <f t="shared" ref="SJ22" si="426">SC22</f>
        <v>15</v>
      </c>
      <c r="SK22" s="2">
        <f t="shared" ref="SK22" si="427">SD22</f>
        <v>14</v>
      </c>
      <c r="SL22" s="2">
        <f t="shared" ref="SL22" si="428">SE22</f>
        <v>10</v>
      </c>
      <c r="SM22" s="2">
        <f t="shared" ref="SM22" si="429">SF22</f>
        <v>5</v>
      </c>
      <c r="SN22" s="2">
        <f t="shared" ref="SN22" si="430">SG22</f>
        <v>10</v>
      </c>
      <c r="SO22" s="2">
        <f t="shared" ref="SO22" si="431">SH22</f>
        <v>15</v>
      </c>
      <c r="SP22" s="2">
        <f t="shared" ref="SP22" si="432">SI22</f>
        <v>15</v>
      </c>
      <c r="SQ22" s="2">
        <f t="shared" ref="SQ22" si="433">SJ22</f>
        <v>15</v>
      </c>
      <c r="SR22" s="2">
        <f t="shared" ref="SR22" si="434">SK22</f>
        <v>14</v>
      </c>
      <c r="SS22" s="2">
        <f t="shared" ref="SS22" si="435">SL22</f>
        <v>10</v>
      </c>
      <c r="ST22" s="2">
        <f t="shared" ref="ST22" si="436">SM22</f>
        <v>5</v>
      </c>
      <c r="SU22" s="2">
        <f t="shared" ref="SU22" si="437">SN22</f>
        <v>10</v>
      </c>
      <c r="SV22" s="2">
        <f t="shared" ref="SV22" si="438">SO22</f>
        <v>15</v>
      </c>
      <c r="SW22" s="2">
        <f t="shared" ref="SW22" si="439">SP22</f>
        <v>15</v>
      </c>
      <c r="SX22" s="2">
        <f t="shared" ref="SX22" si="440">SQ22</f>
        <v>15</v>
      </c>
      <c r="SY22" s="2">
        <f t="shared" ref="SY22" si="441">SR22</f>
        <v>14</v>
      </c>
      <c r="SZ22" s="2">
        <f t="shared" ref="SZ22" si="442">SS22</f>
        <v>10</v>
      </c>
      <c r="TA22" s="2">
        <f t="shared" ref="TA22" si="443">ST22</f>
        <v>5</v>
      </c>
      <c r="TB22" s="2">
        <f t="shared" ref="TB22" si="444">SU22</f>
        <v>10</v>
      </c>
      <c r="TC22" s="2">
        <f t="shared" ref="TC22" si="445">SV22</f>
        <v>15</v>
      </c>
      <c r="TD22" s="2">
        <f t="shared" ref="TD22" si="446">SW22</f>
        <v>15</v>
      </c>
      <c r="TE22" s="2">
        <f t="shared" ref="TE22" si="447">SX22</f>
        <v>15</v>
      </c>
      <c r="TF22" s="2">
        <f t="shared" ref="TF22" si="448">SY22</f>
        <v>14</v>
      </c>
      <c r="TG22" s="2">
        <f t="shared" ref="TG22" si="449">SZ22</f>
        <v>10</v>
      </c>
      <c r="TH22" s="2">
        <f t="shared" ref="TH22" si="450">TA22</f>
        <v>5</v>
      </c>
      <c r="TI22" s="2">
        <f t="shared" ref="TI22" si="451">TB22</f>
        <v>10</v>
      </c>
      <c r="TJ22" s="2">
        <f t="shared" ref="TJ22" si="452">TC22</f>
        <v>15</v>
      </c>
      <c r="TK22" s="2">
        <f t="shared" ref="TK22" si="453">TD22</f>
        <v>15</v>
      </c>
      <c r="TL22" s="2">
        <f t="shared" ref="TL22" si="454">TE22</f>
        <v>15</v>
      </c>
      <c r="TM22" s="2">
        <f t="shared" ref="TM22" si="455">TF22</f>
        <v>14</v>
      </c>
      <c r="TN22" s="2">
        <f t="shared" ref="TN22" si="456">TG22</f>
        <v>10</v>
      </c>
      <c r="TO22" s="2">
        <f t="shared" ref="TO22" si="457">TH22</f>
        <v>5</v>
      </c>
      <c r="TP22" s="2">
        <f t="shared" ref="TP22" si="458">TI22</f>
        <v>10</v>
      </c>
      <c r="TQ22" s="2">
        <f t="shared" ref="TQ22" si="459">TJ22</f>
        <v>15</v>
      </c>
      <c r="TR22" s="2">
        <f t="shared" ref="TR22" si="460">TK22</f>
        <v>15</v>
      </c>
      <c r="TS22" s="2">
        <f t="shared" ref="TS22" si="461">TL22</f>
        <v>15</v>
      </c>
      <c r="TT22" s="2">
        <f t="shared" ref="TT22" si="462">TM22</f>
        <v>14</v>
      </c>
      <c r="TU22" s="2">
        <f t="shared" ref="TU22" si="463">TN22</f>
        <v>10</v>
      </c>
      <c r="TV22" s="2">
        <f t="shared" ref="TV22" si="464">TO22</f>
        <v>5</v>
      </c>
      <c r="TW22" s="2">
        <f t="shared" ref="TW22" si="465">TP22</f>
        <v>10</v>
      </c>
      <c r="TX22" s="2">
        <f t="shared" ref="TX22" si="466">TQ22</f>
        <v>15</v>
      </c>
      <c r="TY22" s="2">
        <f t="shared" ref="TY22" si="467">TR22</f>
        <v>15</v>
      </c>
      <c r="TZ22" s="2">
        <f t="shared" ref="TZ22" si="468">TS22</f>
        <v>15</v>
      </c>
      <c r="UA22" s="2">
        <f t="shared" ref="UA22" si="469">TT22</f>
        <v>14</v>
      </c>
      <c r="UB22" s="2">
        <f t="shared" ref="UB22" si="470">TU22</f>
        <v>10</v>
      </c>
      <c r="UC22" s="2">
        <f t="shared" ref="UC22" si="471">TV22</f>
        <v>5</v>
      </c>
      <c r="UD22" s="2">
        <f t="shared" ref="UD22" si="472">TW22</f>
        <v>10</v>
      </c>
      <c r="UE22" s="2">
        <f t="shared" ref="UE22" si="473">TX22</f>
        <v>15</v>
      </c>
      <c r="UF22" s="2">
        <f t="shared" ref="UF22" si="474">TY22</f>
        <v>15</v>
      </c>
      <c r="UG22" s="2">
        <f t="shared" ref="UG22" si="475">TZ22</f>
        <v>15</v>
      </c>
      <c r="UH22" s="2">
        <f t="shared" ref="UH22" si="476">UA22</f>
        <v>14</v>
      </c>
      <c r="UI22" s="2">
        <f t="shared" ref="UI22" si="477">UB22</f>
        <v>10</v>
      </c>
      <c r="UJ22" s="2">
        <f t="shared" ref="UJ22" si="478">UC22</f>
        <v>5</v>
      </c>
      <c r="UK22" s="2">
        <f t="shared" ref="UK22" si="479">UD22</f>
        <v>10</v>
      </c>
      <c r="UL22" s="2">
        <f t="shared" ref="UL22" si="480">UE22</f>
        <v>15</v>
      </c>
      <c r="UM22" s="2">
        <f t="shared" ref="UM22" si="481">UF22</f>
        <v>15</v>
      </c>
      <c r="UN22" s="2">
        <f t="shared" ref="UN22" si="482">UG22</f>
        <v>15</v>
      </c>
      <c r="UO22" s="2">
        <f t="shared" ref="UO22" si="483">UH22</f>
        <v>14</v>
      </c>
      <c r="UP22" s="2">
        <f t="shared" ref="UP22" si="484">UI22</f>
        <v>10</v>
      </c>
      <c r="UQ22" s="2">
        <f t="shared" ref="UQ22" si="485">UJ22</f>
        <v>5</v>
      </c>
      <c r="UR22" s="2">
        <f t="shared" ref="UR22" si="486">UK22</f>
        <v>10</v>
      </c>
      <c r="US22" s="2">
        <f t="shared" ref="US22" si="487">UL22</f>
        <v>15</v>
      </c>
      <c r="UT22" s="2">
        <f t="shared" ref="UT22" si="488">UM22</f>
        <v>15</v>
      </c>
      <c r="UU22" s="2">
        <f t="shared" ref="UU22" si="489">UN22</f>
        <v>15</v>
      </c>
      <c r="UV22" s="2">
        <f t="shared" ref="UV22" si="490">UO22</f>
        <v>14</v>
      </c>
      <c r="UW22" s="2">
        <f t="shared" ref="UW22" si="491">UP22</f>
        <v>10</v>
      </c>
      <c r="UX22" s="2">
        <f t="shared" ref="UX22" si="492">UQ22</f>
        <v>5</v>
      </c>
      <c r="UY22" s="2">
        <f t="shared" ref="UY22" si="493">UR22</f>
        <v>10</v>
      </c>
      <c r="UZ22" s="2">
        <f t="shared" ref="UZ22" si="494">US22</f>
        <v>15</v>
      </c>
      <c r="VA22" s="2">
        <f t="shared" ref="VA22" si="495">UT22</f>
        <v>15</v>
      </c>
      <c r="VB22" s="2">
        <f t="shared" ref="VB22" si="496">UU22</f>
        <v>15</v>
      </c>
      <c r="VC22" s="2">
        <f t="shared" ref="VC22" si="497">UV22</f>
        <v>14</v>
      </c>
      <c r="VD22" s="2">
        <f t="shared" ref="VD22" si="498">UW22</f>
        <v>10</v>
      </c>
      <c r="VE22" s="2">
        <f t="shared" ref="VE22" si="499">UX22</f>
        <v>5</v>
      </c>
      <c r="VF22" s="2">
        <f t="shared" ref="VF22" si="500">UY22</f>
        <v>10</v>
      </c>
      <c r="VG22" s="2">
        <f t="shared" ref="VG22" si="501">UZ22</f>
        <v>15</v>
      </c>
      <c r="VH22" s="2">
        <f t="shared" ref="VH22" si="502">VA22</f>
        <v>15</v>
      </c>
      <c r="VI22" s="2">
        <f t="shared" ref="VI22" si="503">VB22</f>
        <v>15</v>
      </c>
      <c r="VJ22" s="2">
        <f t="shared" ref="VJ22" si="504">VC22</f>
        <v>14</v>
      </c>
      <c r="VK22" s="2">
        <f t="shared" ref="VK22" si="505">VD22</f>
        <v>10</v>
      </c>
      <c r="VL22" s="2">
        <f t="shared" ref="VL22" si="506">VE22</f>
        <v>5</v>
      </c>
      <c r="VM22" s="2">
        <f t="shared" ref="VM22" si="507">VF22</f>
        <v>10</v>
      </c>
      <c r="VN22" s="2">
        <f t="shared" ref="VN22" si="508">VG22</f>
        <v>15</v>
      </c>
      <c r="VO22" s="2">
        <f t="shared" ref="VO22" si="509">VH22</f>
        <v>15</v>
      </c>
      <c r="VP22" s="2">
        <f t="shared" ref="VP22" si="510">VI22</f>
        <v>15</v>
      </c>
      <c r="VQ22" s="2">
        <f t="shared" ref="VQ22" si="511">VJ22</f>
        <v>14</v>
      </c>
      <c r="VR22" s="2">
        <f t="shared" ref="VR22" si="512">VK22</f>
        <v>10</v>
      </c>
      <c r="VS22" s="2">
        <f t="shared" ref="VS22" si="513">VL22</f>
        <v>5</v>
      </c>
      <c r="VT22" s="2">
        <f t="shared" ref="VT22" si="514">VM22</f>
        <v>10</v>
      </c>
      <c r="VU22" s="2">
        <f t="shared" ref="VU22" si="515">VN22</f>
        <v>15</v>
      </c>
      <c r="VV22" s="2">
        <f t="shared" ref="VV22" si="516">VO22</f>
        <v>15</v>
      </c>
      <c r="VW22" s="2">
        <f t="shared" ref="VW22" si="517">VP22</f>
        <v>15</v>
      </c>
      <c r="VX22" s="2">
        <f t="shared" ref="VX22" si="518">VQ22</f>
        <v>14</v>
      </c>
      <c r="VY22" s="2">
        <f t="shared" ref="VY22" si="519">VR22</f>
        <v>10</v>
      </c>
      <c r="VZ22" s="2">
        <f t="shared" ref="VZ22" si="520">VS22</f>
        <v>5</v>
      </c>
      <c r="WA22" s="2">
        <f t="shared" ref="WA22" si="521">VT22</f>
        <v>10</v>
      </c>
      <c r="WB22" s="2">
        <f t="shared" ref="WB22" si="522">VU22</f>
        <v>15</v>
      </c>
      <c r="WC22" s="2">
        <f t="shared" ref="WC22" si="523">VV22</f>
        <v>15</v>
      </c>
      <c r="WD22" s="2">
        <f t="shared" ref="WD22" si="524">VW22</f>
        <v>15</v>
      </c>
      <c r="WE22" s="2">
        <f t="shared" ref="WE22" si="525">VX22</f>
        <v>14</v>
      </c>
      <c r="WF22" s="2">
        <f t="shared" ref="WF22" si="526">VY22</f>
        <v>10</v>
      </c>
      <c r="WG22" s="2">
        <f t="shared" ref="WG22" si="527">VZ22</f>
        <v>5</v>
      </c>
      <c r="WH22" s="2">
        <f t="shared" ref="WH22" si="528">WA22</f>
        <v>10</v>
      </c>
      <c r="WI22" s="2">
        <f t="shared" ref="WI22" si="529">WB22</f>
        <v>15</v>
      </c>
      <c r="WJ22" s="2">
        <f t="shared" ref="WJ22" si="530">WC22</f>
        <v>15</v>
      </c>
      <c r="WK22" s="2">
        <f t="shared" ref="WK22" si="531">WD22</f>
        <v>15</v>
      </c>
      <c r="WL22" s="2">
        <f t="shared" ref="WL22" si="532">WE22</f>
        <v>14</v>
      </c>
      <c r="WM22" s="2">
        <f t="shared" ref="WM22" si="533">WF22</f>
        <v>10</v>
      </c>
      <c r="WN22" s="2">
        <f t="shared" ref="WN22" si="534">WG22</f>
        <v>5</v>
      </c>
      <c r="WO22" s="2">
        <f t="shared" ref="WO22" si="535">WH22</f>
        <v>10</v>
      </c>
      <c r="WP22" s="2">
        <f t="shared" ref="WP22" si="536">WI22</f>
        <v>15</v>
      </c>
      <c r="WQ22" s="2">
        <f t="shared" ref="WQ22" si="537">WJ22</f>
        <v>15</v>
      </c>
      <c r="WR22" s="2">
        <f t="shared" ref="WR22" si="538">WK22</f>
        <v>15</v>
      </c>
      <c r="WS22" s="2">
        <f t="shared" ref="WS22" si="539">WL22</f>
        <v>14</v>
      </c>
      <c r="WT22" s="2">
        <f t="shared" ref="WT22" si="540">WM22</f>
        <v>10</v>
      </c>
      <c r="WU22" s="2">
        <f t="shared" ref="WU22" si="541">WN22</f>
        <v>5</v>
      </c>
      <c r="WV22" s="2">
        <f t="shared" ref="WV22" si="542">WO22</f>
        <v>10</v>
      </c>
      <c r="WW22" s="2">
        <f t="shared" ref="WW22" si="543">WP22</f>
        <v>15</v>
      </c>
      <c r="WX22" s="2">
        <f t="shared" ref="WX22" si="544">WQ22</f>
        <v>15</v>
      </c>
      <c r="WY22" s="2">
        <f t="shared" ref="WY22" si="545">WR22</f>
        <v>15</v>
      </c>
      <c r="WZ22" s="2">
        <f t="shared" ref="WZ22" si="546">WS22</f>
        <v>14</v>
      </c>
      <c r="XA22" s="2">
        <f t="shared" ref="XA22" si="547">WT22</f>
        <v>10</v>
      </c>
      <c r="XB22" s="2">
        <f t="shared" ref="XB22" si="548">WU22</f>
        <v>5</v>
      </c>
      <c r="XC22" s="2">
        <f t="shared" ref="XC22" si="549">WV22</f>
        <v>10</v>
      </c>
      <c r="XD22" s="2">
        <f t="shared" ref="XD22" si="550">WW22</f>
        <v>15</v>
      </c>
      <c r="XE22" s="2">
        <f t="shared" ref="XE22" si="551">WX22</f>
        <v>15</v>
      </c>
      <c r="XF22" s="2">
        <f t="shared" ref="XF22" si="552">WY22</f>
        <v>15</v>
      </c>
      <c r="XG22" s="2">
        <f t="shared" ref="XG22" si="553">WZ22</f>
        <v>14</v>
      </c>
      <c r="XH22" s="2">
        <f t="shared" ref="XH22" si="554">XA22</f>
        <v>10</v>
      </c>
      <c r="XI22" s="2">
        <f t="shared" ref="XI22" si="555">XB22</f>
        <v>5</v>
      </c>
      <c r="XJ22" s="2">
        <f t="shared" ref="XJ22" si="556">XC22</f>
        <v>10</v>
      </c>
      <c r="XK22" s="2">
        <f t="shared" ref="XK22" si="557">XD22</f>
        <v>15</v>
      </c>
      <c r="XL22" s="2">
        <f t="shared" ref="XL22" si="558">XE22</f>
        <v>15</v>
      </c>
      <c r="XM22" s="2">
        <f t="shared" ref="XM22" si="559">XF22</f>
        <v>15</v>
      </c>
      <c r="XN22" s="2">
        <f t="shared" ref="XN22" si="560">XG22</f>
        <v>14</v>
      </c>
      <c r="XO22" s="2">
        <f t="shared" ref="XO22" si="561">XH22</f>
        <v>10</v>
      </c>
      <c r="XP22" s="2">
        <f t="shared" ref="XP22" si="562">XI22</f>
        <v>5</v>
      </c>
      <c r="XQ22" s="2">
        <f t="shared" ref="XQ22" si="563">XJ22</f>
        <v>10</v>
      </c>
    </row>
    <row r="23" spans="2:641" x14ac:dyDescent="0.3">
      <c r="B23" t="s">
        <v>101</v>
      </c>
      <c r="C23" s="2">
        <f t="shared" ref="C23:BN23" si="564">C22*$C$15</f>
        <v>42.5</v>
      </c>
      <c r="D23" s="2">
        <f t="shared" si="564"/>
        <v>85</v>
      </c>
      <c r="E23" s="2">
        <f t="shared" si="564"/>
        <v>127.5</v>
      </c>
      <c r="F23" s="2">
        <f t="shared" si="564"/>
        <v>127.5</v>
      </c>
      <c r="G23" s="2">
        <f t="shared" si="564"/>
        <v>127.5</v>
      </c>
      <c r="H23" s="2">
        <f t="shared" si="564"/>
        <v>119</v>
      </c>
      <c r="I23" s="2">
        <f t="shared" si="564"/>
        <v>85</v>
      </c>
      <c r="J23" s="2">
        <f t="shared" si="564"/>
        <v>42.5</v>
      </c>
      <c r="K23" s="2">
        <f t="shared" si="564"/>
        <v>85</v>
      </c>
      <c r="L23" s="2">
        <f t="shared" si="564"/>
        <v>127.5</v>
      </c>
      <c r="M23" s="2">
        <f t="shared" si="564"/>
        <v>127.5</v>
      </c>
      <c r="N23" s="2">
        <f t="shared" si="564"/>
        <v>127.5</v>
      </c>
      <c r="O23" s="2">
        <f t="shared" si="564"/>
        <v>119</v>
      </c>
      <c r="P23" s="2">
        <f t="shared" si="564"/>
        <v>85</v>
      </c>
      <c r="Q23" s="2">
        <f t="shared" si="564"/>
        <v>42.5</v>
      </c>
      <c r="R23" s="2">
        <f t="shared" si="564"/>
        <v>85</v>
      </c>
      <c r="S23" s="2">
        <f t="shared" si="564"/>
        <v>127.5</v>
      </c>
      <c r="T23" s="2">
        <f t="shared" si="564"/>
        <v>127.5</v>
      </c>
      <c r="U23" s="2">
        <f t="shared" si="564"/>
        <v>127.5</v>
      </c>
      <c r="V23" s="2">
        <f t="shared" si="564"/>
        <v>119</v>
      </c>
      <c r="W23" s="2">
        <f t="shared" si="564"/>
        <v>85</v>
      </c>
      <c r="X23" s="2">
        <f t="shared" si="564"/>
        <v>42.5</v>
      </c>
      <c r="Y23" s="2">
        <f t="shared" si="564"/>
        <v>85</v>
      </c>
      <c r="Z23" s="2">
        <f t="shared" si="564"/>
        <v>127.5</v>
      </c>
      <c r="AA23" s="2">
        <f t="shared" si="564"/>
        <v>127.5</v>
      </c>
      <c r="AB23" s="2">
        <f t="shared" si="564"/>
        <v>127.5</v>
      </c>
      <c r="AC23" s="2">
        <f t="shared" si="564"/>
        <v>119</v>
      </c>
      <c r="AD23" s="2">
        <f t="shared" si="564"/>
        <v>85</v>
      </c>
      <c r="AE23" s="2">
        <f t="shared" si="564"/>
        <v>42.5</v>
      </c>
      <c r="AF23" s="2">
        <f t="shared" si="564"/>
        <v>85</v>
      </c>
      <c r="AG23" s="2">
        <f t="shared" si="564"/>
        <v>127.5</v>
      </c>
      <c r="AH23" s="2">
        <f t="shared" si="564"/>
        <v>127.5</v>
      </c>
      <c r="AI23" s="2">
        <f t="shared" si="564"/>
        <v>127.5</v>
      </c>
      <c r="AJ23" s="2">
        <f t="shared" si="564"/>
        <v>119</v>
      </c>
      <c r="AK23" s="2">
        <f t="shared" si="564"/>
        <v>85</v>
      </c>
      <c r="AL23" s="2">
        <f t="shared" si="564"/>
        <v>42.5</v>
      </c>
      <c r="AM23" s="2">
        <f t="shared" si="564"/>
        <v>85</v>
      </c>
      <c r="AN23" s="2">
        <f t="shared" si="564"/>
        <v>127.5</v>
      </c>
      <c r="AO23" s="2">
        <f t="shared" si="564"/>
        <v>127.5</v>
      </c>
      <c r="AP23" s="2">
        <f t="shared" si="564"/>
        <v>127.5</v>
      </c>
      <c r="AQ23" s="2">
        <f t="shared" si="564"/>
        <v>119</v>
      </c>
      <c r="AR23" s="2">
        <f t="shared" si="564"/>
        <v>85</v>
      </c>
      <c r="AS23" s="2">
        <f t="shared" si="564"/>
        <v>42.5</v>
      </c>
      <c r="AT23" s="2">
        <f t="shared" si="564"/>
        <v>85</v>
      </c>
      <c r="AU23" s="2">
        <f t="shared" si="564"/>
        <v>127.5</v>
      </c>
      <c r="AV23" s="2">
        <f t="shared" si="564"/>
        <v>127.5</v>
      </c>
      <c r="AW23" s="2">
        <f t="shared" si="564"/>
        <v>127.5</v>
      </c>
      <c r="AX23" s="2">
        <f t="shared" si="564"/>
        <v>119</v>
      </c>
      <c r="AY23" s="2">
        <f t="shared" si="564"/>
        <v>85</v>
      </c>
      <c r="AZ23" s="2">
        <f t="shared" si="564"/>
        <v>42.5</v>
      </c>
      <c r="BA23" s="2">
        <f t="shared" si="564"/>
        <v>85</v>
      </c>
      <c r="BB23" s="2">
        <f t="shared" si="564"/>
        <v>127.5</v>
      </c>
      <c r="BC23" s="2">
        <f t="shared" si="564"/>
        <v>127.5</v>
      </c>
      <c r="BD23" s="2">
        <f t="shared" si="564"/>
        <v>127.5</v>
      </c>
      <c r="BE23" s="2">
        <f t="shared" si="564"/>
        <v>119</v>
      </c>
      <c r="BF23" s="2">
        <f t="shared" si="564"/>
        <v>85</v>
      </c>
      <c r="BG23" s="2">
        <f t="shared" si="564"/>
        <v>42.5</v>
      </c>
      <c r="BH23" s="2">
        <f t="shared" si="564"/>
        <v>85</v>
      </c>
      <c r="BI23" s="2">
        <f t="shared" si="564"/>
        <v>127.5</v>
      </c>
      <c r="BJ23" s="2">
        <f t="shared" si="564"/>
        <v>127.5</v>
      </c>
      <c r="BK23" s="2">
        <f t="shared" si="564"/>
        <v>127.5</v>
      </c>
      <c r="BL23" s="2">
        <f t="shared" si="564"/>
        <v>119</v>
      </c>
      <c r="BM23" s="2">
        <f t="shared" si="564"/>
        <v>85</v>
      </c>
      <c r="BN23" s="2">
        <f t="shared" si="564"/>
        <v>42.5</v>
      </c>
      <c r="BO23" s="2">
        <f t="shared" ref="BO23:DZ23" si="565">BO22*$C$15</f>
        <v>85</v>
      </c>
      <c r="BP23" s="2">
        <f t="shared" si="565"/>
        <v>127.5</v>
      </c>
      <c r="BQ23" s="2">
        <f t="shared" si="565"/>
        <v>127.5</v>
      </c>
      <c r="BR23" s="2">
        <f t="shared" si="565"/>
        <v>127.5</v>
      </c>
      <c r="BS23" s="2">
        <f t="shared" si="565"/>
        <v>119</v>
      </c>
      <c r="BT23" s="2">
        <f t="shared" si="565"/>
        <v>85</v>
      </c>
      <c r="BU23" s="2">
        <f t="shared" si="565"/>
        <v>42.5</v>
      </c>
      <c r="BV23" s="2">
        <f t="shared" si="565"/>
        <v>85</v>
      </c>
      <c r="BW23" s="2">
        <f t="shared" si="565"/>
        <v>127.5</v>
      </c>
      <c r="BX23" s="2">
        <f t="shared" si="565"/>
        <v>127.5</v>
      </c>
      <c r="BY23" s="2">
        <f t="shared" si="565"/>
        <v>127.5</v>
      </c>
      <c r="BZ23" s="2">
        <f t="shared" si="565"/>
        <v>119</v>
      </c>
      <c r="CA23" s="2">
        <f t="shared" si="565"/>
        <v>85</v>
      </c>
      <c r="CB23" s="2">
        <f t="shared" si="565"/>
        <v>42.5</v>
      </c>
      <c r="CC23" s="2">
        <f t="shared" si="565"/>
        <v>85</v>
      </c>
      <c r="CD23" s="2">
        <f t="shared" si="565"/>
        <v>127.5</v>
      </c>
      <c r="CE23" s="2">
        <f t="shared" si="565"/>
        <v>127.5</v>
      </c>
      <c r="CF23" s="2">
        <f t="shared" si="565"/>
        <v>127.5</v>
      </c>
      <c r="CG23" s="2">
        <f t="shared" si="565"/>
        <v>119</v>
      </c>
      <c r="CH23" s="2">
        <f t="shared" si="565"/>
        <v>85</v>
      </c>
      <c r="CI23" s="2">
        <f t="shared" si="565"/>
        <v>42.5</v>
      </c>
      <c r="CJ23" s="2">
        <f t="shared" si="565"/>
        <v>85</v>
      </c>
      <c r="CK23" s="2">
        <f t="shared" si="565"/>
        <v>127.5</v>
      </c>
      <c r="CL23" s="2">
        <f t="shared" si="565"/>
        <v>127.5</v>
      </c>
      <c r="CM23" s="2">
        <f t="shared" si="565"/>
        <v>127.5</v>
      </c>
      <c r="CN23" s="2">
        <f t="shared" si="565"/>
        <v>119</v>
      </c>
      <c r="CO23" s="2">
        <f t="shared" si="565"/>
        <v>85</v>
      </c>
      <c r="CP23" s="2">
        <f t="shared" si="565"/>
        <v>42.5</v>
      </c>
      <c r="CQ23" s="2">
        <f t="shared" si="565"/>
        <v>85</v>
      </c>
      <c r="CR23" s="2">
        <f t="shared" si="565"/>
        <v>127.5</v>
      </c>
      <c r="CS23" s="2">
        <f t="shared" si="565"/>
        <v>127.5</v>
      </c>
      <c r="CT23" s="2">
        <f t="shared" si="565"/>
        <v>127.5</v>
      </c>
      <c r="CU23" s="2">
        <f t="shared" si="565"/>
        <v>119</v>
      </c>
      <c r="CV23" s="2">
        <f t="shared" si="565"/>
        <v>85</v>
      </c>
      <c r="CW23" s="2">
        <f t="shared" si="565"/>
        <v>42.5</v>
      </c>
      <c r="CX23" s="2">
        <f t="shared" si="565"/>
        <v>85</v>
      </c>
      <c r="CY23" s="2">
        <f t="shared" si="565"/>
        <v>127.5</v>
      </c>
      <c r="CZ23" s="2">
        <f t="shared" si="565"/>
        <v>127.5</v>
      </c>
      <c r="DA23" s="2">
        <f t="shared" si="565"/>
        <v>127.5</v>
      </c>
      <c r="DB23" s="2">
        <f t="shared" si="565"/>
        <v>119</v>
      </c>
      <c r="DC23" s="2">
        <f t="shared" si="565"/>
        <v>85</v>
      </c>
      <c r="DD23" s="2">
        <f t="shared" si="565"/>
        <v>42.5</v>
      </c>
      <c r="DE23" s="2">
        <f t="shared" si="565"/>
        <v>85</v>
      </c>
      <c r="DF23" s="2">
        <f t="shared" si="565"/>
        <v>127.5</v>
      </c>
      <c r="DG23" s="2">
        <f t="shared" si="565"/>
        <v>127.5</v>
      </c>
      <c r="DH23" s="2">
        <f t="shared" si="565"/>
        <v>127.5</v>
      </c>
      <c r="DI23" s="2">
        <f t="shared" si="565"/>
        <v>119</v>
      </c>
      <c r="DJ23" s="2">
        <f t="shared" si="565"/>
        <v>85</v>
      </c>
      <c r="DK23" s="2">
        <f t="shared" si="565"/>
        <v>42.5</v>
      </c>
      <c r="DL23" s="2">
        <f t="shared" si="565"/>
        <v>85</v>
      </c>
      <c r="DM23" s="2">
        <f t="shared" si="565"/>
        <v>127.5</v>
      </c>
      <c r="DN23" s="2">
        <f t="shared" si="565"/>
        <v>127.5</v>
      </c>
      <c r="DO23" s="2">
        <f t="shared" si="565"/>
        <v>127.5</v>
      </c>
      <c r="DP23" s="2">
        <f t="shared" si="565"/>
        <v>119</v>
      </c>
      <c r="DQ23" s="2">
        <f t="shared" si="565"/>
        <v>85</v>
      </c>
      <c r="DR23" s="2">
        <f t="shared" si="565"/>
        <v>42.5</v>
      </c>
      <c r="DS23" s="2">
        <f t="shared" si="565"/>
        <v>85</v>
      </c>
      <c r="DT23" s="2">
        <f t="shared" si="565"/>
        <v>127.5</v>
      </c>
      <c r="DU23" s="2">
        <f t="shared" si="565"/>
        <v>127.5</v>
      </c>
      <c r="DV23" s="2">
        <f t="shared" si="565"/>
        <v>127.5</v>
      </c>
      <c r="DW23" s="2">
        <f t="shared" si="565"/>
        <v>119</v>
      </c>
      <c r="DX23" s="2">
        <f t="shared" si="565"/>
        <v>85</v>
      </c>
      <c r="DY23" s="2">
        <f t="shared" si="565"/>
        <v>42.5</v>
      </c>
      <c r="DZ23" s="2">
        <f t="shared" si="565"/>
        <v>85</v>
      </c>
      <c r="EA23" s="2">
        <f t="shared" ref="EA23:GL23" si="566">EA22*$C$15</f>
        <v>127.5</v>
      </c>
      <c r="EB23" s="2">
        <f t="shared" si="566"/>
        <v>127.5</v>
      </c>
      <c r="EC23" s="2">
        <f t="shared" si="566"/>
        <v>127.5</v>
      </c>
      <c r="ED23" s="2">
        <f t="shared" si="566"/>
        <v>119</v>
      </c>
      <c r="EE23" s="2">
        <f t="shared" si="566"/>
        <v>85</v>
      </c>
      <c r="EF23" s="2">
        <f t="shared" si="566"/>
        <v>42.5</v>
      </c>
      <c r="EG23" s="2">
        <f t="shared" si="566"/>
        <v>85</v>
      </c>
      <c r="EH23" s="2">
        <f t="shared" si="566"/>
        <v>127.5</v>
      </c>
      <c r="EI23" s="2">
        <f t="shared" si="566"/>
        <v>127.5</v>
      </c>
      <c r="EJ23" s="2">
        <f t="shared" si="566"/>
        <v>127.5</v>
      </c>
      <c r="EK23" s="2">
        <f t="shared" si="566"/>
        <v>119</v>
      </c>
      <c r="EL23" s="2">
        <f t="shared" si="566"/>
        <v>85</v>
      </c>
      <c r="EM23" s="2">
        <f t="shared" si="566"/>
        <v>42.5</v>
      </c>
      <c r="EN23" s="2">
        <f t="shared" si="566"/>
        <v>85</v>
      </c>
      <c r="EO23" s="2">
        <f t="shared" si="566"/>
        <v>127.5</v>
      </c>
      <c r="EP23" s="2">
        <f t="shared" si="566"/>
        <v>127.5</v>
      </c>
      <c r="EQ23" s="2">
        <f t="shared" si="566"/>
        <v>127.5</v>
      </c>
      <c r="ER23" s="2">
        <f t="shared" si="566"/>
        <v>119</v>
      </c>
      <c r="ES23" s="2">
        <f t="shared" si="566"/>
        <v>85</v>
      </c>
      <c r="ET23" s="2">
        <f t="shared" si="566"/>
        <v>42.5</v>
      </c>
      <c r="EU23" s="2">
        <f t="shared" si="566"/>
        <v>85</v>
      </c>
      <c r="EV23" s="2">
        <f t="shared" si="566"/>
        <v>127.5</v>
      </c>
      <c r="EW23" s="2">
        <f t="shared" si="566"/>
        <v>127.5</v>
      </c>
      <c r="EX23" s="2">
        <f t="shared" si="566"/>
        <v>127.5</v>
      </c>
      <c r="EY23" s="2">
        <f t="shared" si="566"/>
        <v>119</v>
      </c>
      <c r="EZ23" s="2">
        <f t="shared" si="566"/>
        <v>85</v>
      </c>
      <c r="FA23" s="2">
        <f t="shared" si="566"/>
        <v>42.5</v>
      </c>
      <c r="FB23" s="2">
        <f t="shared" si="566"/>
        <v>85</v>
      </c>
      <c r="FC23" s="2">
        <f t="shared" si="566"/>
        <v>127.5</v>
      </c>
      <c r="FD23" s="2">
        <f t="shared" si="566"/>
        <v>127.5</v>
      </c>
      <c r="FE23" s="2">
        <f t="shared" si="566"/>
        <v>127.5</v>
      </c>
      <c r="FF23" s="2">
        <f t="shared" si="566"/>
        <v>119</v>
      </c>
      <c r="FG23" s="2">
        <f t="shared" si="566"/>
        <v>85</v>
      </c>
      <c r="FH23" s="2">
        <f t="shared" si="566"/>
        <v>42.5</v>
      </c>
      <c r="FI23" s="2">
        <f t="shared" si="566"/>
        <v>85</v>
      </c>
      <c r="FJ23" s="2">
        <f t="shared" si="566"/>
        <v>127.5</v>
      </c>
      <c r="FK23" s="2">
        <f t="shared" si="566"/>
        <v>127.5</v>
      </c>
      <c r="FL23" s="2">
        <f t="shared" si="566"/>
        <v>127.5</v>
      </c>
      <c r="FM23" s="2">
        <f t="shared" si="566"/>
        <v>119</v>
      </c>
      <c r="FN23" s="2">
        <f t="shared" si="566"/>
        <v>85</v>
      </c>
      <c r="FO23" s="2">
        <f t="shared" si="566"/>
        <v>42.5</v>
      </c>
      <c r="FP23" s="2">
        <f t="shared" si="566"/>
        <v>85</v>
      </c>
      <c r="FQ23" s="2">
        <f t="shared" si="566"/>
        <v>127.5</v>
      </c>
      <c r="FR23" s="2">
        <f t="shared" si="566"/>
        <v>127.5</v>
      </c>
      <c r="FS23" s="2">
        <f t="shared" si="566"/>
        <v>127.5</v>
      </c>
      <c r="FT23" s="2">
        <f t="shared" si="566"/>
        <v>119</v>
      </c>
      <c r="FU23" s="2">
        <f t="shared" si="566"/>
        <v>85</v>
      </c>
      <c r="FV23" s="2">
        <f t="shared" si="566"/>
        <v>42.5</v>
      </c>
      <c r="FW23" s="2">
        <f t="shared" si="566"/>
        <v>85</v>
      </c>
      <c r="FX23" s="2">
        <f t="shared" si="566"/>
        <v>127.5</v>
      </c>
      <c r="FY23" s="2">
        <f t="shared" si="566"/>
        <v>127.5</v>
      </c>
      <c r="FZ23" s="2">
        <f t="shared" si="566"/>
        <v>127.5</v>
      </c>
      <c r="GA23" s="2">
        <f t="shared" si="566"/>
        <v>119</v>
      </c>
      <c r="GB23" s="2">
        <f t="shared" si="566"/>
        <v>85</v>
      </c>
      <c r="GC23" s="2">
        <f t="shared" si="566"/>
        <v>42.5</v>
      </c>
      <c r="GD23" s="2">
        <f t="shared" si="566"/>
        <v>85</v>
      </c>
      <c r="GE23" s="2">
        <f t="shared" si="566"/>
        <v>127.5</v>
      </c>
      <c r="GF23" s="2">
        <f t="shared" si="566"/>
        <v>127.5</v>
      </c>
      <c r="GG23" s="2">
        <f t="shared" si="566"/>
        <v>127.5</v>
      </c>
      <c r="GH23" s="2">
        <f t="shared" si="566"/>
        <v>119</v>
      </c>
      <c r="GI23" s="2">
        <f t="shared" si="566"/>
        <v>85</v>
      </c>
      <c r="GJ23" s="2">
        <f t="shared" si="566"/>
        <v>42.5</v>
      </c>
      <c r="GK23" s="2">
        <f t="shared" si="566"/>
        <v>85</v>
      </c>
      <c r="GL23" s="2">
        <f t="shared" si="566"/>
        <v>127.5</v>
      </c>
      <c r="GM23" s="2">
        <f t="shared" ref="GM23:IX23" si="567">GM22*$C$15</f>
        <v>127.5</v>
      </c>
      <c r="GN23" s="2">
        <f t="shared" si="567"/>
        <v>127.5</v>
      </c>
      <c r="GO23" s="2">
        <f t="shared" si="567"/>
        <v>119</v>
      </c>
      <c r="GP23" s="2">
        <f t="shared" si="567"/>
        <v>85</v>
      </c>
      <c r="GQ23" s="2">
        <f t="shared" si="567"/>
        <v>42.5</v>
      </c>
      <c r="GR23" s="2">
        <f t="shared" si="567"/>
        <v>85</v>
      </c>
      <c r="GS23" s="2">
        <f t="shared" si="567"/>
        <v>127.5</v>
      </c>
      <c r="GT23" s="2">
        <f t="shared" si="567"/>
        <v>127.5</v>
      </c>
      <c r="GU23" s="2">
        <f t="shared" si="567"/>
        <v>127.5</v>
      </c>
      <c r="GV23" s="2">
        <f t="shared" si="567"/>
        <v>119</v>
      </c>
      <c r="GW23" s="2">
        <f t="shared" si="567"/>
        <v>85</v>
      </c>
      <c r="GX23" s="2">
        <f t="shared" si="567"/>
        <v>42.5</v>
      </c>
      <c r="GY23" s="2">
        <f t="shared" si="567"/>
        <v>85</v>
      </c>
      <c r="GZ23" s="2">
        <f t="shared" si="567"/>
        <v>127.5</v>
      </c>
      <c r="HA23" s="2">
        <f t="shared" si="567"/>
        <v>127.5</v>
      </c>
      <c r="HB23" s="2">
        <f t="shared" si="567"/>
        <v>127.5</v>
      </c>
      <c r="HC23" s="2">
        <f t="shared" si="567"/>
        <v>119</v>
      </c>
      <c r="HD23" s="2">
        <f t="shared" si="567"/>
        <v>85</v>
      </c>
      <c r="HE23" s="2">
        <f t="shared" si="567"/>
        <v>42.5</v>
      </c>
      <c r="HF23" s="2">
        <f t="shared" si="567"/>
        <v>85</v>
      </c>
      <c r="HG23" s="2">
        <f t="shared" si="567"/>
        <v>127.5</v>
      </c>
      <c r="HH23" s="2">
        <f t="shared" si="567"/>
        <v>127.5</v>
      </c>
      <c r="HI23" s="2">
        <f t="shared" si="567"/>
        <v>127.5</v>
      </c>
      <c r="HJ23" s="2">
        <f t="shared" si="567"/>
        <v>119</v>
      </c>
      <c r="HK23" s="2">
        <f t="shared" si="567"/>
        <v>85</v>
      </c>
      <c r="HL23" s="2">
        <f t="shared" si="567"/>
        <v>42.5</v>
      </c>
      <c r="HM23" s="2">
        <f t="shared" si="567"/>
        <v>85</v>
      </c>
      <c r="HN23" s="2">
        <f t="shared" si="567"/>
        <v>127.5</v>
      </c>
      <c r="HO23" s="2">
        <f t="shared" si="567"/>
        <v>127.5</v>
      </c>
      <c r="HP23" s="2">
        <f t="shared" si="567"/>
        <v>127.5</v>
      </c>
      <c r="HQ23" s="2">
        <f t="shared" si="567"/>
        <v>119</v>
      </c>
      <c r="HR23" s="2">
        <f t="shared" si="567"/>
        <v>85</v>
      </c>
      <c r="HS23" s="2">
        <f t="shared" si="567"/>
        <v>42.5</v>
      </c>
      <c r="HT23" s="2">
        <f t="shared" si="567"/>
        <v>85</v>
      </c>
      <c r="HU23" s="2">
        <f t="shared" si="567"/>
        <v>127.5</v>
      </c>
      <c r="HV23" s="2">
        <f t="shared" si="567"/>
        <v>127.5</v>
      </c>
      <c r="HW23" s="2">
        <f t="shared" si="567"/>
        <v>127.5</v>
      </c>
      <c r="HX23" s="2">
        <f t="shared" si="567"/>
        <v>119</v>
      </c>
      <c r="HY23" s="2">
        <f t="shared" si="567"/>
        <v>85</v>
      </c>
      <c r="HZ23" s="2">
        <f t="shared" si="567"/>
        <v>42.5</v>
      </c>
      <c r="IA23" s="2">
        <f t="shared" si="567"/>
        <v>85</v>
      </c>
      <c r="IB23" s="2">
        <f t="shared" si="567"/>
        <v>127.5</v>
      </c>
      <c r="IC23" s="2">
        <f t="shared" si="567"/>
        <v>127.5</v>
      </c>
      <c r="ID23" s="2">
        <f t="shared" si="567"/>
        <v>127.5</v>
      </c>
      <c r="IE23" s="2">
        <f t="shared" si="567"/>
        <v>119</v>
      </c>
      <c r="IF23" s="2">
        <f t="shared" si="567"/>
        <v>85</v>
      </c>
      <c r="IG23" s="2">
        <f t="shared" si="567"/>
        <v>42.5</v>
      </c>
      <c r="IH23" s="2">
        <f t="shared" si="567"/>
        <v>85</v>
      </c>
      <c r="II23" s="2">
        <f t="shared" si="567"/>
        <v>127.5</v>
      </c>
      <c r="IJ23" s="2">
        <f t="shared" si="567"/>
        <v>127.5</v>
      </c>
      <c r="IK23" s="2">
        <f t="shared" si="567"/>
        <v>127.5</v>
      </c>
      <c r="IL23" s="2">
        <f t="shared" si="567"/>
        <v>119</v>
      </c>
      <c r="IM23" s="2">
        <f t="shared" si="567"/>
        <v>85</v>
      </c>
      <c r="IN23" s="2">
        <f t="shared" si="567"/>
        <v>42.5</v>
      </c>
      <c r="IO23" s="2">
        <f t="shared" si="567"/>
        <v>85</v>
      </c>
      <c r="IP23" s="2">
        <f t="shared" si="567"/>
        <v>127.5</v>
      </c>
      <c r="IQ23" s="2">
        <f t="shared" si="567"/>
        <v>127.5</v>
      </c>
      <c r="IR23" s="2">
        <f t="shared" si="567"/>
        <v>127.5</v>
      </c>
      <c r="IS23" s="2">
        <f t="shared" si="567"/>
        <v>119</v>
      </c>
      <c r="IT23" s="2">
        <f t="shared" si="567"/>
        <v>85</v>
      </c>
      <c r="IU23" s="2">
        <f t="shared" si="567"/>
        <v>42.5</v>
      </c>
      <c r="IV23" s="2">
        <f t="shared" si="567"/>
        <v>85</v>
      </c>
      <c r="IW23" s="2">
        <f t="shared" si="567"/>
        <v>127.5</v>
      </c>
      <c r="IX23" s="2">
        <f t="shared" si="567"/>
        <v>127.5</v>
      </c>
      <c r="IY23" s="2">
        <f t="shared" ref="IY23:LJ23" si="568">IY22*$C$15</f>
        <v>127.5</v>
      </c>
      <c r="IZ23" s="2">
        <f t="shared" si="568"/>
        <v>119</v>
      </c>
      <c r="JA23" s="2">
        <f t="shared" si="568"/>
        <v>85</v>
      </c>
      <c r="JB23" s="2">
        <f t="shared" si="568"/>
        <v>42.5</v>
      </c>
      <c r="JC23" s="2">
        <f t="shared" si="568"/>
        <v>85</v>
      </c>
      <c r="JD23" s="2">
        <f t="shared" si="568"/>
        <v>127.5</v>
      </c>
      <c r="JE23" s="2">
        <f t="shared" si="568"/>
        <v>127.5</v>
      </c>
      <c r="JF23" s="2">
        <f t="shared" si="568"/>
        <v>127.5</v>
      </c>
      <c r="JG23" s="2">
        <f t="shared" si="568"/>
        <v>119</v>
      </c>
      <c r="JH23" s="2">
        <f t="shared" si="568"/>
        <v>85</v>
      </c>
      <c r="JI23" s="2">
        <f t="shared" si="568"/>
        <v>42.5</v>
      </c>
      <c r="JJ23" s="2">
        <f t="shared" si="568"/>
        <v>85</v>
      </c>
      <c r="JK23" s="2">
        <f t="shared" si="568"/>
        <v>127.5</v>
      </c>
      <c r="JL23" s="2">
        <f t="shared" si="568"/>
        <v>127.5</v>
      </c>
      <c r="JM23" s="2">
        <f t="shared" si="568"/>
        <v>127.5</v>
      </c>
      <c r="JN23" s="2">
        <f t="shared" si="568"/>
        <v>119</v>
      </c>
      <c r="JO23" s="2">
        <f t="shared" si="568"/>
        <v>85</v>
      </c>
      <c r="JP23" s="2">
        <f t="shared" si="568"/>
        <v>42.5</v>
      </c>
      <c r="JQ23" s="2">
        <f t="shared" si="568"/>
        <v>85</v>
      </c>
      <c r="JR23" s="2">
        <f t="shared" si="568"/>
        <v>127.5</v>
      </c>
      <c r="JS23" s="2">
        <f t="shared" si="568"/>
        <v>127.5</v>
      </c>
      <c r="JT23" s="2">
        <f t="shared" si="568"/>
        <v>127.5</v>
      </c>
      <c r="JU23" s="2">
        <f t="shared" si="568"/>
        <v>119</v>
      </c>
      <c r="JV23" s="2">
        <f t="shared" si="568"/>
        <v>85</v>
      </c>
      <c r="JW23" s="2">
        <f t="shared" si="568"/>
        <v>42.5</v>
      </c>
      <c r="JX23" s="2">
        <f t="shared" si="568"/>
        <v>85</v>
      </c>
      <c r="JY23" s="2">
        <f t="shared" si="568"/>
        <v>127.5</v>
      </c>
      <c r="JZ23" s="2">
        <f t="shared" si="568"/>
        <v>127.5</v>
      </c>
      <c r="KA23" s="2">
        <f t="shared" si="568"/>
        <v>127.5</v>
      </c>
      <c r="KB23" s="2">
        <f t="shared" si="568"/>
        <v>119</v>
      </c>
      <c r="KC23" s="2">
        <f t="shared" si="568"/>
        <v>85</v>
      </c>
      <c r="KD23" s="2">
        <f t="shared" si="568"/>
        <v>42.5</v>
      </c>
      <c r="KE23" s="2">
        <f t="shared" si="568"/>
        <v>85</v>
      </c>
      <c r="KF23" s="2">
        <f t="shared" si="568"/>
        <v>127.5</v>
      </c>
      <c r="KG23" s="2">
        <f t="shared" si="568"/>
        <v>127.5</v>
      </c>
      <c r="KH23" s="2">
        <f t="shared" si="568"/>
        <v>127.5</v>
      </c>
      <c r="KI23" s="2">
        <f t="shared" si="568"/>
        <v>119</v>
      </c>
      <c r="KJ23" s="2">
        <f t="shared" si="568"/>
        <v>85</v>
      </c>
      <c r="KK23" s="2">
        <f t="shared" si="568"/>
        <v>42.5</v>
      </c>
      <c r="KL23" s="2">
        <f t="shared" si="568"/>
        <v>85</v>
      </c>
      <c r="KM23" s="2">
        <f t="shared" si="568"/>
        <v>127.5</v>
      </c>
      <c r="KN23" s="2">
        <f t="shared" si="568"/>
        <v>127.5</v>
      </c>
      <c r="KO23" s="2">
        <f t="shared" si="568"/>
        <v>127.5</v>
      </c>
      <c r="KP23" s="2">
        <f t="shared" si="568"/>
        <v>119</v>
      </c>
      <c r="KQ23" s="2">
        <f t="shared" si="568"/>
        <v>85</v>
      </c>
      <c r="KR23" s="2">
        <f t="shared" si="568"/>
        <v>42.5</v>
      </c>
      <c r="KS23" s="2">
        <f t="shared" si="568"/>
        <v>85</v>
      </c>
      <c r="KT23" s="2">
        <f t="shared" si="568"/>
        <v>127.5</v>
      </c>
      <c r="KU23" s="2">
        <f t="shared" si="568"/>
        <v>127.5</v>
      </c>
      <c r="KV23" s="2">
        <f t="shared" si="568"/>
        <v>127.5</v>
      </c>
      <c r="KW23" s="2">
        <f t="shared" si="568"/>
        <v>119</v>
      </c>
      <c r="KX23" s="2">
        <f t="shared" si="568"/>
        <v>85</v>
      </c>
      <c r="KY23" s="2">
        <f t="shared" si="568"/>
        <v>42.5</v>
      </c>
      <c r="KZ23" s="2">
        <f t="shared" si="568"/>
        <v>85</v>
      </c>
      <c r="LA23" s="2">
        <f t="shared" si="568"/>
        <v>127.5</v>
      </c>
      <c r="LB23" s="2">
        <f t="shared" si="568"/>
        <v>127.5</v>
      </c>
      <c r="LC23" s="2">
        <f t="shared" si="568"/>
        <v>127.5</v>
      </c>
      <c r="LD23" s="2">
        <f t="shared" si="568"/>
        <v>119</v>
      </c>
      <c r="LE23" s="2">
        <f t="shared" si="568"/>
        <v>85</v>
      </c>
      <c r="LF23" s="2">
        <f t="shared" si="568"/>
        <v>42.5</v>
      </c>
      <c r="LG23" s="2">
        <f t="shared" si="568"/>
        <v>85</v>
      </c>
      <c r="LH23" s="2">
        <f t="shared" si="568"/>
        <v>127.5</v>
      </c>
      <c r="LI23" s="2">
        <f t="shared" si="568"/>
        <v>127.5</v>
      </c>
      <c r="LJ23" s="2">
        <f t="shared" si="568"/>
        <v>127.5</v>
      </c>
      <c r="LK23" s="2">
        <f t="shared" ref="LK23:NV23" si="569">LK22*$C$15</f>
        <v>119</v>
      </c>
      <c r="LL23" s="2">
        <f t="shared" si="569"/>
        <v>85</v>
      </c>
      <c r="LM23" s="2">
        <f t="shared" si="569"/>
        <v>42.5</v>
      </c>
      <c r="LN23" s="2">
        <f t="shared" si="569"/>
        <v>85</v>
      </c>
      <c r="LO23" s="2">
        <f t="shared" si="569"/>
        <v>127.5</v>
      </c>
      <c r="LP23" s="2">
        <f t="shared" si="569"/>
        <v>127.5</v>
      </c>
      <c r="LQ23" s="2">
        <f t="shared" si="569"/>
        <v>127.5</v>
      </c>
      <c r="LR23" s="2">
        <f t="shared" si="569"/>
        <v>119</v>
      </c>
      <c r="LS23" s="2">
        <f t="shared" si="569"/>
        <v>85</v>
      </c>
      <c r="LT23" s="2">
        <f t="shared" si="569"/>
        <v>42.5</v>
      </c>
      <c r="LU23" s="2">
        <f t="shared" si="569"/>
        <v>85</v>
      </c>
      <c r="LV23" s="2">
        <f t="shared" si="569"/>
        <v>127.5</v>
      </c>
      <c r="LW23" s="2">
        <f t="shared" si="569"/>
        <v>127.5</v>
      </c>
      <c r="LX23" s="2">
        <f t="shared" si="569"/>
        <v>127.5</v>
      </c>
      <c r="LY23" s="2">
        <f t="shared" si="569"/>
        <v>119</v>
      </c>
      <c r="LZ23" s="2">
        <f t="shared" si="569"/>
        <v>85</v>
      </c>
      <c r="MA23" s="2">
        <f t="shared" si="569"/>
        <v>42.5</v>
      </c>
      <c r="MB23" s="2">
        <f t="shared" si="569"/>
        <v>85</v>
      </c>
      <c r="MC23" s="2">
        <f t="shared" si="569"/>
        <v>127.5</v>
      </c>
      <c r="MD23" s="2">
        <f t="shared" si="569"/>
        <v>127.5</v>
      </c>
      <c r="ME23" s="2">
        <f t="shared" si="569"/>
        <v>127.5</v>
      </c>
      <c r="MF23" s="2">
        <f t="shared" si="569"/>
        <v>119</v>
      </c>
      <c r="MG23" s="2">
        <f t="shared" si="569"/>
        <v>85</v>
      </c>
      <c r="MH23" s="2">
        <f t="shared" si="569"/>
        <v>42.5</v>
      </c>
      <c r="MI23" s="2">
        <f t="shared" si="569"/>
        <v>85</v>
      </c>
      <c r="MJ23" s="2">
        <f t="shared" si="569"/>
        <v>127.5</v>
      </c>
      <c r="MK23" s="2">
        <f t="shared" si="569"/>
        <v>127.5</v>
      </c>
      <c r="ML23" s="2">
        <f t="shared" si="569"/>
        <v>127.5</v>
      </c>
      <c r="MM23" s="2">
        <f t="shared" si="569"/>
        <v>119</v>
      </c>
      <c r="MN23" s="2">
        <f t="shared" si="569"/>
        <v>85</v>
      </c>
      <c r="MO23" s="2">
        <f t="shared" si="569"/>
        <v>42.5</v>
      </c>
      <c r="MP23" s="2">
        <f t="shared" si="569"/>
        <v>85</v>
      </c>
      <c r="MQ23" s="2">
        <f t="shared" si="569"/>
        <v>127.5</v>
      </c>
      <c r="MR23" s="2">
        <f t="shared" si="569"/>
        <v>127.5</v>
      </c>
      <c r="MS23" s="2">
        <f t="shared" si="569"/>
        <v>127.5</v>
      </c>
      <c r="MT23" s="2">
        <f t="shared" si="569"/>
        <v>119</v>
      </c>
      <c r="MU23" s="2">
        <f t="shared" si="569"/>
        <v>85</v>
      </c>
      <c r="MV23" s="2">
        <f t="shared" si="569"/>
        <v>42.5</v>
      </c>
      <c r="MW23" s="2">
        <f t="shared" si="569"/>
        <v>85</v>
      </c>
      <c r="MX23" s="2">
        <f t="shared" si="569"/>
        <v>127.5</v>
      </c>
      <c r="MY23" s="2">
        <f t="shared" si="569"/>
        <v>127.5</v>
      </c>
      <c r="MZ23" s="2">
        <f t="shared" si="569"/>
        <v>127.5</v>
      </c>
      <c r="NA23" s="2">
        <f t="shared" si="569"/>
        <v>119</v>
      </c>
      <c r="NB23" s="2">
        <f t="shared" si="569"/>
        <v>85</v>
      </c>
      <c r="NC23" s="2">
        <f t="shared" si="569"/>
        <v>42.5</v>
      </c>
      <c r="ND23" s="2">
        <f t="shared" si="569"/>
        <v>85</v>
      </c>
      <c r="NE23" s="2">
        <f t="shared" si="569"/>
        <v>127.5</v>
      </c>
      <c r="NF23" s="2">
        <f t="shared" si="569"/>
        <v>127.5</v>
      </c>
      <c r="NG23" s="2">
        <f t="shared" si="569"/>
        <v>127.5</v>
      </c>
      <c r="NH23" s="2">
        <f t="shared" si="569"/>
        <v>119</v>
      </c>
      <c r="NI23" s="2">
        <f t="shared" si="569"/>
        <v>85</v>
      </c>
      <c r="NJ23" s="2">
        <f t="shared" si="569"/>
        <v>42.5</v>
      </c>
      <c r="NK23" s="2">
        <f t="shared" si="569"/>
        <v>85</v>
      </c>
      <c r="NL23" s="2">
        <f t="shared" si="569"/>
        <v>127.5</v>
      </c>
      <c r="NM23" s="2">
        <f t="shared" si="569"/>
        <v>127.5</v>
      </c>
      <c r="NN23" s="2">
        <f t="shared" si="569"/>
        <v>127.5</v>
      </c>
      <c r="NO23" s="2">
        <f t="shared" si="569"/>
        <v>119</v>
      </c>
      <c r="NP23" s="2">
        <f t="shared" si="569"/>
        <v>85</v>
      </c>
      <c r="NQ23" s="2">
        <f t="shared" si="569"/>
        <v>42.5</v>
      </c>
      <c r="NR23" s="2">
        <f t="shared" si="569"/>
        <v>85</v>
      </c>
      <c r="NS23" s="2">
        <f t="shared" si="569"/>
        <v>127.5</v>
      </c>
      <c r="NT23" s="2">
        <f t="shared" si="569"/>
        <v>127.5</v>
      </c>
      <c r="NU23" s="2">
        <f t="shared" si="569"/>
        <v>127.5</v>
      </c>
      <c r="NV23" s="2">
        <f t="shared" si="569"/>
        <v>119</v>
      </c>
      <c r="NW23" s="2">
        <f t="shared" ref="NW23:QH23" si="570">NW22*$C$15</f>
        <v>85</v>
      </c>
      <c r="NX23" s="2">
        <f t="shared" si="570"/>
        <v>42.5</v>
      </c>
      <c r="NY23" s="2">
        <f t="shared" si="570"/>
        <v>85</v>
      </c>
      <c r="NZ23" s="2">
        <f t="shared" si="570"/>
        <v>127.5</v>
      </c>
      <c r="OA23" s="2">
        <f t="shared" si="570"/>
        <v>127.5</v>
      </c>
      <c r="OB23" s="2">
        <f t="shared" si="570"/>
        <v>127.5</v>
      </c>
      <c r="OC23" s="2">
        <f t="shared" si="570"/>
        <v>119</v>
      </c>
      <c r="OD23" s="2">
        <f t="shared" si="570"/>
        <v>85</v>
      </c>
      <c r="OE23" s="2">
        <f t="shared" si="570"/>
        <v>42.5</v>
      </c>
      <c r="OF23" s="2">
        <f t="shared" si="570"/>
        <v>85</v>
      </c>
      <c r="OG23" s="2">
        <f t="shared" si="570"/>
        <v>127.5</v>
      </c>
      <c r="OH23" s="2">
        <f t="shared" si="570"/>
        <v>127.5</v>
      </c>
      <c r="OI23" s="2">
        <f t="shared" si="570"/>
        <v>127.5</v>
      </c>
      <c r="OJ23" s="2">
        <f t="shared" si="570"/>
        <v>119</v>
      </c>
      <c r="OK23" s="2">
        <f t="shared" si="570"/>
        <v>85</v>
      </c>
      <c r="OL23" s="2">
        <f t="shared" si="570"/>
        <v>42.5</v>
      </c>
      <c r="OM23" s="2">
        <f t="shared" si="570"/>
        <v>85</v>
      </c>
      <c r="ON23" s="2">
        <f t="shared" si="570"/>
        <v>127.5</v>
      </c>
      <c r="OO23" s="2">
        <f t="shared" si="570"/>
        <v>127.5</v>
      </c>
      <c r="OP23" s="2">
        <f t="shared" si="570"/>
        <v>127.5</v>
      </c>
      <c r="OQ23" s="2">
        <f t="shared" si="570"/>
        <v>119</v>
      </c>
      <c r="OR23" s="2">
        <f t="shared" si="570"/>
        <v>85</v>
      </c>
      <c r="OS23" s="2">
        <f t="shared" si="570"/>
        <v>42.5</v>
      </c>
      <c r="OT23" s="2">
        <f t="shared" si="570"/>
        <v>85</v>
      </c>
      <c r="OU23" s="2">
        <f t="shared" si="570"/>
        <v>127.5</v>
      </c>
      <c r="OV23" s="2">
        <f t="shared" si="570"/>
        <v>127.5</v>
      </c>
      <c r="OW23" s="2">
        <f t="shared" si="570"/>
        <v>127.5</v>
      </c>
      <c r="OX23" s="2">
        <f t="shared" si="570"/>
        <v>119</v>
      </c>
      <c r="OY23" s="2">
        <f t="shared" si="570"/>
        <v>85</v>
      </c>
      <c r="OZ23" s="2">
        <f t="shared" si="570"/>
        <v>42.5</v>
      </c>
      <c r="PA23" s="2">
        <f t="shared" si="570"/>
        <v>85</v>
      </c>
      <c r="PB23" s="2">
        <f t="shared" si="570"/>
        <v>127.5</v>
      </c>
      <c r="PC23" s="2">
        <f t="shared" si="570"/>
        <v>127.5</v>
      </c>
      <c r="PD23" s="2">
        <f t="shared" si="570"/>
        <v>127.5</v>
      </c>
      <c r="PE23" s="2">
        <f t="shared" si="570"/>
        <v>119</v>
      </c>
      <c r="PF23" s="2">
        <f t="shared" si="570"/>
        <v>85</v>
      </c>
      <c r="PG23" s="2">
        <f t="shared" si="570"/>
        <v>42.5</v>
      </c>
      <c r="PH23" s="2">
        <f t="shared" si="570"/>
        <v>85</v>
      </c>
      <c r="PI23" s="2">
        <f t="shared" si="570"/>
        <v>127.5</v>
      </c>
      <c r="PJ23" s="2">
        <f t="shared" si="570"/>
        <v>127.5</v>
      </c>
      <c r="PK23" s="2">
        <f t="shared" si="570"/>
        <v>127.5</v>
      </c>
      <c r="PL23" s="2">
        <f t="shared" si="570"/>
        <v>119</v>
      </c>
      <c r="PM23" s="2">
        <f t="shared" si="570"/>
        <v>85</v>
      </c>
      <c r="PN23" s="2">
        <f t="shared" si="570"/>
        <v>42.5</v>
      </c>
      <c r="PO23" s="2">
        <f t="shared" si="570"/>
        <v>85</v>
      </c>
      <c r="PP23" s="2">
        <f t="shared" si="570"/>
        <v>127.5</v>
      </c>
      <c r="PQ23" s="2">
        <f t="shared" si="570"/>
        <v>127.5</v>
      </c>
      <c r="PR23" s="2">
        <f t="shared" si="570"/>
        <v>127.5</v>
      </c>
      <c r="PS23" s="2">
        <f t="shared" si="570"/>
        <v>119</v>
      </c>
      <c r="PT23" s="2">
        <f t="shared" si="570"/>
        <v>85</v>
      </c>
      <c r="PU23" s="2">
        <f t="shared" si="570"/>
        <v>42.5</v>
      </c>
      <c r="PV23" s="2">
        <f t="shared" si="570"/>
        <v>85</v>
      </c>
      <c r="PW23" s="2">
        <f t="shared" si="570"/>
        <v>127.5</v>
      </c>
      <c r="PX23" s="2">
        <f t="shared" si="570"/>
        <v>127.5</v>
      </c>
      <c r="PY23" s="2">
        <f t="shared" si="570"/>
        <v>127.5</v>
      </c>
      <c r="PZ23" s="2">
        <f t="shared" si="570"/>
        <v>119</v>
      </c>
      <c r="QA23" s="2">
        <f t="shared" si="570"/>
        <v>85</v>
      </c>
      <c r="QB23" s="2">
        <f t="shared" si="570"/>
        <v>42.5</v>
      </c>
      <c r="QC23" s="2">
        <f t="shared" si="570"/>
        <v>85</v>
      </c>
      <c r="QD23" s="2">
        <f t="shared" si="570"/>
        <v>127.5</v>
      </c>
      <c r="QE23" s="2">
        <f t="shared" si="570"/>
        <v>127.5</v>
      </c>
      <c r="QF23" s="2">
        <f t="shared" si="570"/>
        <v>127.5</v>
      </c>
      <c r="QG23" s="2">
        <f t="shared" si="570"/>
        <v>119</v>
      </c>
      <c r="QH23" s="2">
        <f t="shared" si="570"/>
        <v>85</v>
      </c>
      <c r="QI23" s="2">
        <f t="shared" ref="QI23:ST23" si="571">QI22*$C$15</f>
        <v>42.5</v>
      </c>
      <c r="QJ23" s="2">
        <f t="shared" si="571"/>
        <v>85</v>
      </c>
      <c r="QK23" s="2">
        <f t="shared" si="571"/>
        <v>127.5</v>
      </c>
      <c r="QL23" s="2">
        <f t="shared" si="571"/>
        <v>127.5</v>
      </c>
      <c r="QM23" s="2">
        <f t="shared" si="571"/>
        <v>127.5</v>
      </c>
      <c r="QN23" s="2">
        <f t="shared" si="571"/>
        <v>119</v>
      </c>
      <c r="QO23" s="2">
        <f t="shared" si="571"/>
        <v>85</v>
      </c>
      <c r="QP23" s="2">
        <f t="shared" si="571"/>
        <v>42.5</v>
      </c>
      <c r="QQ23" s="2">
        <f t="shared" si="571"/>
        <v>85</v>
      </c>
      <c r="QR23" s="2">
        <f t="shared" si="571"/>
        <v>127.5</v>
      </c>
      <c r="QS23" s="2">
        <f t="shared" si="571"/>
        <v>127.5</v>
      </c>
      <c r="QT23" s="2">
        <f t="shared" si="571"/>
        <v>127.5</v>
      </c>
      <c r="QU23" s="2">
        <f t="shared" si="571"/>
        <v>119</v>
      </c>
      <c r="QV23" s="2">
        <f t="shared" si="571"/>
        <v>85</v>
      </c>
      <c r="QW23" s="2">
        <f t="shared" si="571"/>
        <v>42.5</v>
      </c>
      <c r="QX23" s="2">
        <f t="shared" si="571"/>
        <v>85</v>
      </c>
      <c r="QY23" s="2">
        <f t="shared" si="571"/>
        <v>127.5</v>
      </c>
      <c r="QZ23" s="2">
        <f t="shared" si="571"/>
        <v>127.5</v>
      </c>
      <c r="RA23" s="2">
        <f t="shared" si="571"/>
        <v>127.5</v>
      </c>
      <c r="RB23" s="2">
        <f t="shared" si="571"/>
        <v>119</v>
      </c>
      <c r="RC23" s="2">
        <f t="shared" si="571"/>
        <v>85</v>
      </c>
      <c r="RD23" s="2">
        <f t="shared" si="571"/>
        <v>42.5</v>
      </c>
      <c r="RE23" s="2">
        <f t="shared" si="571"/>
        <v>85</v>
      </c>
      <c r="RF23" s="2">
        <f t="shared" si="571"/>
        <v>127.5</v>
      </c>
      <c r="RG23" s="2">
        <f t="shared" si="571"/>
        <v>127.5</v>
      </c>
      <c r="RH23" s="2">
        <f t="shared" si="571"/>
        <v>127.5</v>
      </c>
      <c r="RI23" s="2">
        <f t="shared" si="571"/>
        <v>119</v>
      </c>
      <c r="RJ23" s="2">
        <f t="shared" si="571"/>
        <v>85</v>
      </c>
      <c r="RK23" s="2">
        <f t="shared" si="571"/>
        <v>42.5</v>
      </c>
      <c r="RL23" s="2">
        <f t="shared" si="571"/>
        <v>85</v>
      </c>
      <c r="RM23" s="2">
        <f t="shared" si="571"/>
        <v>127.5</v>
      </c>
      <c r="RN23" s="2">
        <f t="shared" si="571"/>
        <v>127.5</v>
      </c>
      <c r="RO23" s="2">
        <f t="shared" si="571"/>
        <v>127.5</v>
      </c>
      <c r="RP23" s="2">
        <f t="shared" si="571"/>
        <v>119</v>
      </c>
      <c r="RQ23" s="2">
        <f t="shared" si="571"/>
        <v>85</v>
      </c>
      <c r="RR23" s="2">
        <f t="shared" si="571"/>
        <v>42.5</v>
      </c>
      <c r="RS23" s="2">
        <f t="shared" si="571"/>
        <v>85</v>
      </c>
      <c r="RT23" s="2">
        <f t="shared" si="571"/>
        <v>127.5</v>
      </c>
      <c r="RU23" s="2">
        <f t="shared" si="571"/>
        <v>127.5</v>
      </c>
      <c r="RV23" s="2">
        <f t="shared" si="571"/>
        <v>127.5</v>
      </c>
      <c r="RW23" s="2">
        <f t="shared" si="571"/>
        <v>119</v>
      </c>
      <c r="RX23" s="2">
        <f t="shared" si="571"/>
        <v>85</v>
      </c>
      <c r="RY23" s="2">
        <f t="shared" si="571"/>
        <v>42.5</v>
      </c>
      <c r="RZ23" s="2">
        <f t="shared" si="571"/>
        <v>85</v>
      </c>
      <c r="SA23" s="2">
        <f t="shared" si="571"/>
        <v>127.5</v>
      </c>
      <c r="SB23" s="2">
        <f t="shared" si="571"/>
        <v>127.5</v>
      </c>
      <c r="SC23" s="2">
        <f t="shared" si="571"/>
        <v>127.5</v>
      </c>
      <c r="SD23" s="2">
        <f t="shared" si="571"/>
        <v>119</v>
      </c>
      <c r="SE23" s="2">
        <f t="shared" si="571"/>
        <v>85</v>
      </c>
      <c r="SF23" s="2">
        <f t="shared" si="571"/>
        <v>42.5</v>
      </c>
      <c r="SG23" s="2">
        <f t="shared" si="571"/>
        <v>85</v>
      </c>
      <c r="SH23" s="2">
        <f t="shared" si="571"/>
        <v>127.5</v>
      </c>
      <c r="SI23" s="2">
        <f t="shared" si="571"/>
        <v>127.5</v>
      </c>
      <c r="SJ23" s="2">
        <f t="shared" si="571"/>
        <v>127.5</v>
      </c>
      <c r="SK23" s="2">
        <f t="shared" si="571"/>
        <v>119</v>
      </c>
      <c r="SL23" s="2">
        <f t="shared" si="571"/>
        <v>85</v>
      </c>
      <c r="SM23" s="2">
        <f t="shared" si="571"/>
        <v>42.5</v>
      </c>
      <c r="SN23" s="2">
        <f t="shared" si="571"/>
        <v>85</v>
      </c>
      <c r="SO23" s="2">
        <f t="shared" si="571"/>
        <v>127.5</v>
      </c>
      <c r="SP23" s="2">
        <f t="shared" si="571"/>
        <v>127.5</v>
      </c>
      <c r="SQ23" s="2">
        <f t="shared" si="571"/>
        <v>127.5</v>
      </c>
      <c r="SR23" s="2">
        <f t="shared" si="571"/>
        <v>119</v>
      </c>
      <c r="SS23" s="2">
        <f t="shared" si="571"/>
        <v>85</v>
      </c>
      <c r="ST23" s="2">
        <f t="shared" si="571"/>
        <v>42.5</v>
      </c>
      <c r="SU23" s="2">
        <f t="shared" ref="SU23:VF23" si="572">SU22*$C$15</f>
        <v>85</v>
      </c>
      <c r="SV23" s="2">
        <f t="shared" si="572"/>
        <v>127.5</v>
      </c>
      <c r="SW23" s="2">
        <f t="shared" si="572"/>
        <v>127.5</v>
      </c>
      <c r="SX23" s="2">
        <f t="shared" si="572"/>
        <v>127.5</v>
      </c>
      <c r="SY23" s="2">
        <f t="shared" si="572"/>
        <v>119</v>
      </c>
      <c r="SZ23" s="2">
        <f t="shared" si="572"/>
        <v>85</v>
      </c>
      <c r="TA23" s="2">
        <f t="shared" si="572"/>
        <v>42.5</v>
      </c>
      <c r="TB23" s="2">
        <f t="shared" si="572"/>
        <v>85</v>
      </c>
      <c r="TC23" s="2">
        <f t="shared" si="572"/>
        <v>127.5</v>
      </c>
      <c r="TD23" s="2">
        <f t="shared" si="572"/>
        <v>127.5</v>
      </c>
      <c r="TE23" s="2">
        <f t="shared" si="572"/>
        <v>127.5</v>
      </c>
      <c r="TF23" s="2">
        <f t="shared" si="572"/>
        <v>119</v>
      </c>
      <c r="TG23" s="2">
        <f t="shared" si="572"/>
        <v>85</v>
      </c>
      <c r="TH23" s="2">
        <f t="shared" si="572"/>
        <v>42.5</v>
      </c>
      <c r="TI23" s="2">
        <f t="shared" si="572"/>
        <v>85</v>
      </c>
      <c r="TJ23" s="2">
        <f t="shared" si="572"/>
        <v>127.5</v>
      </c>
      <c r="TK23" s="2">
        <f t="shared" si="572"/>
        <v>127.5</v>
      </c>
      <c r="TL23" s="2">
        <f t="shared" si="572"/>
        <v>127.5</v>
      </c>
      <c r="TM23" s="2">
        <f t="shared" si="572"/>
        <v>119</v>
      </c>
      <c r="TN23" s="2">
        <f t="shared" si="572"/>
        <v>85</v>
      </c>
      <c r="TO23" s="2">
        <f t="shared" si="572"/>
        <v>42.5</v>
      </c>
      <c r="TP23" s="2">
        <f t="shared" si="572"/>
        <v>85</v>
      </c>
      <c r="TQ23" s="2">
        <f t="shared" si="572"/>
        <v>127.5</v>
      </c>
      <c r="TR23" s="2">
        <f t="shared" si="572"/>
        <v>127.5</v>
      </c>
      <c r="TS23" s="2">
        <f t="shared" si="572"/>
        <v>127.5</v>
      </c>
      <c r="TT23" s="2">
        <f t="shared" si="572"/>
        <v>119</v>
      </c>
      <c r="TU23" s="2">
        <f t="shared" si="572"/>
        <v>85</v>
      </c>
      <c r="TV23" s="2">
        <f t="shared" si="572"/>
        <v>42.5</v>
      </c>
      <c r="TW23" s="2">
        <f t="shared" si="572"/>
        <v>85</v>
      </c>
      <c r="TX23" s="2">
        <f t="shared" si="572"/>
        <v>127.5</v>
      </c>
      <c r="TY23" s="2">
        <f t="shared" si="572"/>
        <v>127.5</v>
      </c>
      <c r="TZ23" s="2">
        <f t="shared" si="572"/>
        <v>127.5</v>
      </c>
      <c r="UA23" s="2">
        <f t="shared" si="572"/>
        <v>119</v>
      </c>
      <c r="UB23" s="2">
        <f t="shared" si="572"/>
        <v>85</v>
      </c>
      <c r="UC23" s="2">
        <f t="shared" si="572"/>
        <v>42.5</v>
      </c>
      <c r="UD23" s="2">
        <f t="shared" si="572"/>
        <v>85</v>
      </c>
      <c r="UE23" s="2">
        <f t="shared" si="572"/>
        <v>127.5</v>
      </c>
      <c r="UF23" s="2">
        <f t="shared" si="572"/>
        <v>127.5</v>
      </c>
      <c r="UG23" s="2">
        <f t="shared" si="572"/>
        <v>127.5</v>
      </c>
      <c r="UH23" s="2">
        <f t="shared" si="572"/>
        <v>119</v>
      </c>
      <c r="UI23" s="2">
        <f t="shared" si="572"/>
        <v>85</v>
      </c>
      <c r="UJ23" s="2">
        <f t="shared" si="572"/>
        <v>42.5</v>
      </c>
      <c r="UK23" s="2">
        <f t="shared" si="572"/>
        <v>85</v>
      </c>
      <c r="UL23" s="2">
        <f t="shared" si="572"/>
        <v>127.5</v>
      </c>
      <c r="UM23" s="2">
        <f t="shared" si="572"/>
        <v>127.5</v>
      </c>
      <c r="UN23" s="2">
        <f t="shared" si="572"/>
        <v>127.5</v>
      </c>
      <c r="UO23" s="2">
        <f t="shared" si="572"/>
        <v>119</v>
      </c>
      <c r="UP23" s="2">
        <f t="shared" si="572"/>
        <v>85</v>
      </c>
      <c r="UQ23" s="2">
        <f t="shared" si="572"/>
        <v>42.5</v>
      </c>
      <c r="UR23" s="2">
        <f t="shared" si="572"/>
        <v>85</v>
      </c>
      <c r="US23" s="2">
        <f t="shared" si="572"/>
        <v>127.5</v>
      </c>
      <c r="UT23" s="2">
        <f t="shared" si="572"/>
        <v>127.5</v>
      </c>
      <c r="UU23" s="2">
        <f t="shared" si="572"/>
        <v>127.5</v>
      </c>
      <c r="UV23" s="2">
        <f t="shared" si="572"/>
        <v>119</v>
      </c>
      <c r="UW23" s="2">
        <f t="shared" si="572"/>
        <v>85</v>
      </c>
      <c r="UX23" s="2">
        <f t="shared" si="572"/>
        <v>42.5</v>
      </c>
      <c r="UY23" s="2">
        <f t="shared" si="572"/>
        <v>85</v>
      </c>
      <c r="UZ23" s="2">
        <f t="shared" si="572"/>
        <v>127.5</v>
      </c>
      <c r="VA23" s="2">
        <f t="shared" si="572"/>
        <v>127.5</v>
      </c>
      <c r="VB23" s="2">
        <f t="shared" si="572"/>
        <v>127.5</v>
      </c>
      <c r="VC23" s="2">
        <f t="shared" si="572"/>
        <v>119</v>
      </c>
      <c r="VD23" s="2">
        <f t="shared" si="572"/>
        <v>85</v>
      </c>
      <c r="VE23" s="2">
        <f t="shared" si="572"/>
        <v>42.5</v>
      </c>
      <c r="VF23" s="2">
        <f t="shared" si="572"/>
        <v>85</v>
      </c>
      <c r="VG23" s="2">
        <f t="shared" ref="VG23:XQ23" si="573">VG22*$C$15</f>
        <v>127.5</v>
      </c>
      <c r="VH23" s="2">
        <f t="shared" si="573"/>
        <v>127.5</v>
      </c>
      <c r="VI23" s="2">
        <f t="shared" si="573"/>
        <v>127.5</v>
      </c>
      <c r="VJ23" s="2">
        <f t="shared" si="573"/>
        <v>119</v>
      </c>
      <c r="VK23" s="2">
        <f t="shared" si="573"/>
        <v>85</v>
      </c>
      <c r="VL23" s="2">
        <f t="shared" si="573"/>
        <v>42.5</v>
      </c>
      <c r="VM23" s="2">
        <f t="shared" si="573"/>
        <v>85</v>
      </c>
      <c r="VN23" s="2">
        <f t="shared" si="573"/>
        <v>127.5</v>
      </c>
      <c r="VO23" s="2">
        <f t="shared" si="573"/>
        <v>127.5</v>
      </c>
      <c r="VP23" s="2">
        <f t="shared" si="573"/>
        <v>127.5</v>
      </c>
      <c r="VQ23" s="2">
        <f t="shared" si="573"/>
        <v>119</v>
      </c>
      <c r="VR23" s="2">
        <f t="shared" si="573"/>
        <v>85</v>
      </c>
      <c r="VS23" s="2">
        <f t="shared" si="573"/>
        <v>42.5</v>
      </c>
      <c r="VT23" s="2">
        <f t="shared" si="573"/>
        <v>85</v>
      </c>
      <c r="VU23" s="2">
        <f t="shared" si="573"/>
        <v>127.5</v>
      </c>
      <c r="VV23" s="2">
        <f t="shared" si="573"/>
        <v>127.5</v>
      </c>
      <c r="VW23" s="2">
        <f t="shared" si="573"/>
        <v>127.5</v>
      </c>
      <c r="VX23" s="2">
        <f t="shared" si="573"/>
        <v>119</v>
      </c>
      <c r="VY23" s="2">
        <f t="shared" si="573"/>
        <v>85</v>
      </c>
      <c r="VZ23" s="2">
        <f t="shared" si="573"/>
        <v>42.5</v>
      </c>
      <c r="WA23" s="2">
        <f t="shared" si="573"/>
        <v>85</v>
      </c>
      <c r="WB23" s="2">
        <f t="shared" si="573"/>
        <v>127.5</v>
      </c>
      <c r="WC23" s="2">
        <f t="shared" si="573"/>
        <v>127.5</v>
      </c>
      <c r="WD23" s="2">
        <f t="shared" si="573"/>
        <v>127.5</v>
      </c>
      <c r="WE23" s="2">
        <f t="shared" si="573"/>
        <v>119</v>
      </c>
      <c r="WF23" s="2">
        <f t="shared" si="573"/>
        <v>85</v>
      </c>
      <c r="WG23" s="2">
        <f t="shared" si="573"/>
        <v>42.5</v>
      </c>
      <c r="WH23" s="2">
        <f t="shared" si="573"/>
        <v>85</v>
      </c>
      <c r="WI23" s="2">
        <f t="shared" si="573"/>
        <v>127.5</v>
      </c>
      <c r="WJ23" s="2">
        <f t="shared" si="573"/>
        <v>127.5</v>
      </c>
      <c r="WK23" s="2">
        <f t="shared" si="573"/>
        <v>127.5</v>
      </c>
      <c r="WL23" s="2">
        <f t="shared" si="573"/>
        <v>119</v>
      </c>
      <c r="WM23" s="2">
        <f t="shared" si="573"/>
        <v>85</v>
      </c>
      <c r="WN23" s="2">
        <f t="shared" si="573"/>
        <v>42.5</v>
      </c>
      <c r="WO23" s="2">
        <f t="shared" si="573"/>
        <v>85</v>
      </c>
      <c r="WP23" s="2">
        <f t="shared" si="573"/>
        <v>127.5</v>
      </c>
      <c r="WQ23" s="2">
        <f t="shared" si="573"/>
        <v>127.5</v>
      </c>
      <c r="WR23" s="2">
        <f t="shared" si="573"/>
        <v>127.5</v>
      </c>
      <c r="WS23" s="2">
        <f t="shared" si="573"/>
        <v>119</v>
      </c>
      <c r="WT23" s="2">
        <f t="shared" si="573"/>
        <v>85</v>
      </c>
      <c r="WU23" s="2">
        <f t="shared" si="573"/>
        <v>42.5</v>
      </c>
      <c r="WV23" s="2">
        <f t="shared" si="573"/>
        <v>85</v>
      </c>
      <c r="WW23" s="2">
        <f t="shared" si="573"/>
        <v>127.5</v>
      </c>
      <c r="WX23" s="2">
        <f t="shared" si="573"/>
        <v>127.5</v>
      </c>
      <c r="WY23" s="2">
        <f t="shared" si="573"/>
        <v>127.5</v>
      </c>
      <c r="WZ23" s="2">
        <f t="shared" si="573"/>
        <v>119</v>
      </c>
      <c r="XA23" s="2">
        <f t="shared" si="573"/>
        <v>85</v>
      </c>
      <c r="XB23" s="2">
        <f t="shared" si="573"/>
        <v>42.5</v>
      </c>
      <c r="XC23" s="2">
        <f t="shared" si="573"/>
        <v>85</v>
      </c>
      <c r="XD23" s="2">
        <f t="shared" si="573"/>
        <v>127.5</v>
      </c>
      <c r="XE23" s="2">
        <f t="shared" si="573"/>
        <v>127.5</v>
      </c>
      <c r="XF23" s="2">
        <f t="shared" si="573"/>
        <v>127.5</v>
      </c>
      <c r="XG23" s="2">
        <f t="shared" si="573"/>
        <v>119</v>
      </c>
      <c r="XH23" s="2">
        <f t="shared" si="573"/>
        <v>85</v>
      </c>
      <c r="XI23" s="2">
        <f t="shared" si="573"/>
        <v>42.5</v>
      </c>
      <c r="XJ23" s="2">
        <f t="shared" si="573"/>
        <v>85</v>
      </c>
      <c r="XK23" s="2">
        <f t="shared" si="573"/>
        <v>127.5</v>
      </c>
      <c r="XL23" s="2">
        <f t="shared" si="573"/>
        <v>127.5</v>
      </c>
      <c r="XM23" s="2">
        <f t="shared" si="573"/>
        <v>127.5</v>
      </c>
      <c r="XN23" s="2">
        <f t="shared" si="573"/>
        <v>119</v>
      </c>
      <c r="XO23" s="2">
        <f t="shared" si="573"/>
        <v>85</v>
      </c>
      <c r="XP23" s="2">
        <f t="shared" si="573"/>
        <v>42.5</v>
      </c>
      <c r="XQ23" s="2">
        <f t="shared" si="573"/>
        <v>85</v>
      </c>
    </row>
    <row r="24" spans="2:641" x14ac:dyDescent="0.3">
      <c r="B24" t="s">
        <v>126</v>
      </c>
      <c r="C24" s="2">
        <v>10</v>
      </c>
      <c r="D24" s="2">
        <v>10</v>
      </c>
      <c r="E24" s="2">
        <v>10</v>
      </c>
      <c r="F24" s="2">
        <v>10</v>
      </c>
      <c r="G24" s="2">
        <v>10</v>
      </c>
      <c r="H24" s="2">
        <v>0</v>
      </c>
      <c r="I24" s="2">
        <v>0</v>
      </c>
      <c r="J24" s="2">
        <v>20</v>
      </c>
      <c r="K24" s="2">
        <v>20</v>
      </c>
      <c r="L24" s="2">
        <v>20</v>
      </c>
      <c r="M24" s="2">
        <v>20</v>
      </c>
      <c r="N24" s="2">
        <v>20</v>
      </c>
      <c r="O24" s="2">
        <v>0</v>
      </c>
      <c r="P24" s="2">
        <v>0</v>
      </c>
      <c r="Q24" s="2">
        <f>J24</f>
        <v>20</v>
      </c>
      <c r="R24" s="2">
        <f t="shared" ref="R24:CC24" si="574">K24</f>
        <v>20</v>
      </c>
      <c r="S24" s="2">
        <f t="shared" si="574"/>
        <v>20</v>
      </c>
      <c r="T24" s="2">
        <f t="shared" si="574"/>
        <v>20</v>
      </c>
      <c r="U24" s="2">
        <f t="shared" si="574"/>
        <v>20</v>
      </c>
      <c r="V24" s="2">
        <f t="shared" si="574"/>
        <v>0</v>
      </c>
      <c r="W24" s="2">
        <f t="shared" si="574"/>
        <v>0</v>
      </c>
      <c r="X24" s="2">
        <f t="shared" si="574"/>
        <v>20</v>
      </c>
      <c r="Y24" s="2">
        <f t="shared" si="574"/>
        <v>20</v>
      </c>
      <c r="Z24" s="2">
        <f t="shared" si="574"/>
        <v>20</v>
      </c>
      <c r="AA24" s="2">
        <f t="shared" si="574"/>
        <v>20</v>
      </c>
      <c r="AB24" s="2">
        <f t="shared" si="574"/>
        <v>20</v>
      </c>
      <c r="AC24" s="2">
        <f t="shared" si="574"/>
        <v>0</v>
      </c>
      <c r="AD24" s="2">
        <f t="shared" si="574"/>
        <v>0</v>
      </c>
      <c r="AE24" s="2">
        <f t="shared" si="574"/>
        <v>20</v>
      </c>
      <c r="AF24" s="2">
        <f t="shared" si="574"/>
        <v>20</v>
      </c>
      <c r="AG24" s="2">
        <f t="shared" si="574"/>
        <v>20</v>
      </c>
      <c r="AH24" s="2">
        <f t="shared" si="574"/>
        <v>20</v>
      </c>
      <c r="AI24" s="2">
        <f t="shared" si="574"/>
        <v>20</v>
      </c>
      <c r="AJ24" s="2">
        <f t="shared" si="574"/>
        <v>0</v>
      </c>
      <c r="AK24" s="2">
        <f t="shared" si="574"/>
        <v>0</v>
      </c>
      <c r="AL24" s="2">
        <f t="shared" si="574"/>
        <v>20</v>
      </c>
      <c r="AM24" s="2">
        <f t="shared" si="574"/>
        <v>20</v>
      </c>
      <c r="AN24" s="2">
        <f t="shared" si="574"/>
        <v>20</v>
      </c>
      <c r="AO24" s="2">
        <f t="shared" si="574"/>
        <v>20</v>
      </c>
      <c r="AP24" s="2">
        <f t="shared" si="574"/>
        <v>20</v>
      </c>
      <c r="AQ24" s="2">
        <f t="shared" si="574"/>
        <v>0</v>
      </c>
      <c r="AR24" s="2">
        <f t="shared" si="574"/>
        <v>0</v>
      </c>
      <c r="AS24" s="2">
        <f t="shared" si="574"/>
        <v>20</v>
      </c>
      <c r="AT24" s="2">
        <f t="shared" si="574"/>
        <v>20</v>
      </c>
      <c r="AU24" s="2">
        <f t="shared" si="574"/>
        <v>20</v>
      </c>
      <c r="AV24" s="2">
        <f t="shared" si="574"/>
        <v>20</v>
      </c>
      <c r="AW24" s="2">
        <f t="shared" si="574"/>
        <v>20</v>
      </c>
      <c r="AX24" s="2">
        <f t="shared" si="574"/>
        <v>0</v>
      </c>
      <c r="AY24" s="2">
        <f t="shared" si="574"/>
        <v>0</v>
      </c>
      <c r="AZ24" s="2">
        <f t="shared" si="574"/>
        <v>20</v>
      </c>
      <c r="BA24" s="2">
        <f t="shared" si="574"/>
        <v>20</v>
      </c>
      <c r="BB24" s="2">
        <f t="shared" si="574"/>
        <v>20</v>
      </c>
      <c r="BC24" s="2">
        <f t="shared" si="574"/>
        <v>20</v>
      </c>
      <c r="BD24" s="2">
        <f t="shared" si="574"/>
        <v>20</v>
      </c>
      <c r="BE24" s="2">
        <f t="shared" si="574"/>
        <v>0</v>
      </c>
      <c r="BF24" s="2">
        <f t="shared" si="574"/>
        <v>0</v>
      </c>
      <c r="BG24" s="2">
        <f t="shared" si="574"/>
        <v>20</v>
      </c>
      <c r="BH24" s="2">
        <f t="shared" si="574"/>
        <v>20</v>
      </c>
      <c r="BI24" s="2">
        <f t="shared" si="574"/>
        <v>20</v>
      </c>
      <c r="BJ24" s="2">
        <f t="shared" si="574"/>
        <v>20</v>
      </c>
      <c r="BK24" s="2">
        <f t="shared" si="574"/>
        <v>20</v>
      </c>
      <c r="BL24" s="2">
        <f t="shared" si="574"/>
        <v>0</v>
      </c>
      <c r="BM24" s="2">
        <f t="shared" si="574"/>
        <v>0</v>
      </c>
      <c r="BN24" s="2">
        <f t="shared" si="574"/>
        <v>20</v>
      </c>
      <c r="BO24" s="2">
        <f t="shared" si="574"/>
        <v>20</v>
      </c>
      <c r="BP24" s="2">
        <f t="shared" si="574"/>
        <v>20</v>
      </c>
      <c r="BQ24" s="2">
        <f t="shared" si="574"/>
        <v>20</v>
      </c>
      <c r="BR24" s="2">
        <f t="shared" si="574"/>
        <v>20</v>
      </c>
      <c r="BS24" s="2">
        <f t="shared" si="574"/>
        <v>0</v>
      </c>
      <c r="BT24" s="2">
        <f t="shared" si="574"/>
        <v>0</v>
      </c>
      <c r="BU24" s="2">
        <f t="shared" si="574"/>
        <v>20</v>
      </c>
      <c r="BV24" s="2">
        <f t="shared" si="574"/>
        <v>20</v>
      </c>
      <c r="BW24" s="2">
        <f t="shared" si="574"/>
        <v>20</v>
      </c>
      <c r="BX24" s="2">
        <f t="shared" si="574"/>
        <v>20</v>
      </c>
      <c r="BY24" s="2">
        <f t="shared" si="574"/>
        <v>20</v>
      </c>
      <c r="BZ24" s="2">
        <f t="shared" si="574"/>
        <v>0</v>
      </c>
      <c r="CA24" s="2">
        <f t="shared" si="574"/>
        <v>0</v>
      </c>
      <c r="CB24" s="2">
        <f t="shared" si="574"/>
        <v>20</v>
      </c>
      <c r="CC24" s="2">
        <f t="shared" si="574"/>
        <v>20</v>
      </c>
      <c r="CD24" s="2">
        <f t="shared" ref="CD24:EO24" si="575">BW24</f>
        <v>20</v>
      </c>
      <c r="CE24" s="2">
        <f t="shared" si="575"/>
        <v>20</v>
      </c>
      <c r="CF24" s="2">
        <f t="shared" si="575"/>
        <v>20</v>
      </c>
      <c r="CG24" s="2">
        <f t="shared" si="575"/>
        <v>0</v>
      </c>
      <c r="CH24" s="2">
        <f t="shared" si="575"/>
        <v>0</v>
      </c>
      <c r="CI24" s="2">
        <f t="shared" si="575"/>
        <v>20</v>
      </c>
      <c r="CJ24" s="2">
        <f t="shared" si="575"/>
        <v>20</v>
      </c>
      <c r="CK24" s="2">
        <f t="shared" si="575"/>
        <v>20</v>
      </c>
      <c r="CL24" s="2">
        <f t="shared" si="575"/>
        <v>20</v>
      </c>
      <c r="CM24" s="2">
        <f t="shared" si="575"/>
        <v>20</v>
      </c>
      <c r="CN24" s="2">
        <f t="shared" si="575"/>
        <v>0</v>
      </c>
      <c r="CO24" s="2">
        <f t="shared" si="575"/>
        <v>0</v>
      </c>
      <c r="CP24" s="2">
        <f t="shared" si="575"/>
        <v>20</v>
      </c>
      <c r="CQ24" s="2">
        <f t="shared" si="575"/>
        <v>20</v>
      </c>
      <c r="CR24" s="2">
        <f t="shared" si="575"/>
        <v>20</v>
      </c>
      <c r="CS24" s="2">
        <f t="shared" si="575"/>
        <v>20</v>
      </c>
      <c r="CT24" s="2">
        <f t="shared" si="575"/>
        <v>20</v>
      </c>
      <c r="CU24" s="2">
        <f t="shared" si="575"/>
        <v>0</v>
      </c>
      <c r="CV24" s="2">
        <f t="shared" si="575"/>
        <v>0</v>
      </c>
      <c r="CW24" s="2">
        <f t="shared" si="575"/>
        <v>20</v>
      </c>
      <c r="CX24" s="2">
        <f t="shared" si="575"/>
        <v>20</v>
      </c>
      <c r="CY24" s="2">
        <f t="shared" si="575"/>
        <v>20</v>
      </c>
      <c r="CZ24" s="2">
        <f t="shared" si="575"/>
        <v>20</v>
      </c>
      <c r="DA24" s="2">
        <f t="shared" si="575"/>
        <v>20</v>
      </c>
      <c r="DB24" s="2">
        <f t="shared" si="575"/>
        <v>0</v>
      </c>
      <c r="DC24" s="2">
        <f t="shared" si="575"/>
        <v>0</v>
      </c>
      <c r="DD24" s="2">
        <f t="shared" si="575"/>
        <v>20</v>
      </c>
      <c r="DE24" s="2">
        <f t="shared" si="575"/>
        <v>20</v>
      </c>
      <c r="DF24" s="2">
        <f t="shared" si="575"/>
        <v>20</v>
      </c>
      <c r="DG24" s="2">
        <f t="shared" si="575"/>
        <v>20</v>
      </c>
      <c r="DH24" s="2">
        <f t="shared" si="575"/>
        <v>20</v>
      </c>
      <c r="DI24" s="2">
        <f t="shared" si="575"/>
        <v>0</v>
      </c>
      <c r="DJ24" s="2">
        <f t="shared" si="575"/>
        <v>0</v>
      </c>
      <c r="DK24" s="2">
        <f t="shared" si="575"/>
        <v>20</v>
      </c>
      <c r="DL24" s="2">
        <f t="shared" si="575"/>
        <v>20</v>
      </c>
      <c r="DM24" s="2">
        <f t="shared" si="575"/>
        <v>20</v>
      </c>
      <c r="DN24" s="2">
        <f t="shared" si="575"/>
        <v>20</v>
      </c>
      <c r="DO24" s="2">
        <f t="shared" si="575"/>
        <v>20</v>
      </c>
      <c r="DP24" s="2">
        <f t="shared" si="575"/>
        <v>0</v>
      </c>
      <c r="DQ24" s="2">
        <f t="shared" si="575"/>
        <v>0</v>
      </c>
      <c r="DR24" s="2">
        <f t="shared" si="575"/>
        <v>20</v>
      </c>
      <c r="DS24" s="2">
        <f t="shared" si="575"/>
        <v>20</v>
      </c>
      <c r="DT24" s="2">
        <f t="shared" si="575"/>
        <v>20</v>
      </c>
      <c r="DU24" s="2">
        <f t="shared" si="575"/>
        <v>20</v>
      </c>
      <c r="DV24" s="2">
        <f t="shared" si="575"/>
        <v>20</v>
      </c>
      <c r="DW24" s="2">
        <f t="shared" si="575"/>
        <v>0</v>
      </c>
      <c r="DX24" s="2">
        <f t="shared" si="575"/>
        <v>0</v>
      </c>
      <c r="DY24" s="2">
        <f t="shared" si="575"/>
        <v>20</v>
      </c>
      <c r="DZ24" s="2">
        <f t="shared" si="575"/>
        <v>20</v>
      </c>
      <c r="EA24" s="2">
        <f t="shared" si="575"/>
        <v>20</v>
      </c>
      <c r="EB24" s="2">
        <f t="shared" si="575"/>
        <v>20</v>
      </c>
      <c r="EC24" s="2">
        <f t="shared" si="575"/>
        <v>20</v>
      </c>
      <c r="ED24" s="2">
        <f t="shared" si="575"/>
        <v>0</v>
      </c>
      <c r="EE24" s="2">
        <f t="shared" si="575"/>
        <v>0</v>
      </c>
      <c r="EF24" s="2">
        <f t="shared" si="575"/>
        <v>20</v>
      </c>
      <c r="EG24" s="2">
        <f t="shared" si="575"/>
        <v>20</v>
      </c>
      <c r="EH24" s="2">
        <f t="shared" si="575"/>
        <v>20</v>
      </c>
      <c r="EI24" s="2">
        <f t="shared" si="575"/>
        <v>20</v>
      </c>
      <c r="EJ24" s="2">
        <f t="shared" si="575"/>
        <v>20</v>
      </c>
      <c r="EK24" s="2">
        <f t="shared" si="575"/>
        <v>0</v>
      </c>
      <c r="EL24" s="2">
        <f t="shared" si="575"/>
        <v>0</v>
      </c>
      <c r="EM24" s="2">
        <f t="shared" si="575"/>
        <v>20</v>
      </c>
      <c r="EN24" s="2">
        <f t="shared" si="575"/>
        <v>20</v>
      </c>
      <c r="EO24" s="2">
        <f t="shared" si="575"/>
        <v>20</v>
      </c>
      <c r="EP24" s="2">
        <f t="shared" ref="EP24:HA24" si="576">EI24</f>
        <v>20</v>
      </c>
      <c r="EQ24" s="2">
        <f t="shared" si="576"/>
        <v>20</v>
      </c>
      <c r="ER24" s="2">
        <f t="shared" si="576"/>
        <v>0</v>
      </c>
      <c r="ES24" s="2">
        <f t="shared" si="576"/>
        <v>0</v>
      </c>
      <c r="ET24" s="2">
        <f t="shared" si="576"/>
        <v>20</v>
      </c>
      <c r="EU24" s="2">
        <f t="shared" si="576"/>
        <v>20</v>
      </c>
      <c r="EV24" s="2">
        <f t="shared" si="576"/>
        <v>20</v>
      </c>
      <c r="EW24" s="2">
        <f t="shared" si="576"/>
        <v>20</v>
      </c>
      <c r="EX24" s="2">
        <f t="shared" si="576"/>
        <v>20</v>
      </c>
      <c r="EY24" s="2">
        <f t="shared" si="576"/>
        <v>0</v>
      </c>
      <c r="EZ24" s="2">
        <f t="shared" si="576"/>
        <v>0</v>
      </c>
      <c r="FA24" s="2">
        <f t="shared" si="576"/>
        <v>20</v>
      </c>
      <c r="FB24" s="2">
        <f t="shared" si="576"/>
        <v>20</v>
      </c>
      <c r="FC24" s="2">
        <f t="shared" si="576"/>
        <v>20</v>
      </c>
      <c r="FD24" s="2">
        <f t="shared" si="576"/>
        <v>20</v>
      </c>
      <c r="FE24" s="2">
        <f t="shared" si="576"/>
        <v>20</v>
      </c>
      <c r="FF24" s="2">
        <f t="shared" si="576"/>
        <v>0</v>
      </c>
      <c r="FG24" s="2">
        <f t="shared" si="576"/>
        <v>0</v>
      </c>
      <c r="FH24" s="2">
        <f t="shared" si="576"/>
        <v>20</v>
      </c>
      <c r="FI24" s="2">
        <f t="shared" si="576"/>
        <v>20</v>
      </c>
      <c r="FJ24" s="2">
        <f t="shared" si="576"/>
        <v>20</v>
      </c>
      <c r="FK24" s="2">
        <f t="shared" si="576"/>
        <v>20</v>
      </c>
      <c r="FL24" s="2">
        <f t="shared" si="576"/>
        <v>20</v>
      </c>
      <c r="FM24" s="2">
        <f t="shared" si="576"/>
        <v>0</v>
      </c>
      <c r="FN24" s="2">
        <f t="shared" si="576"/>
        <v>0</v>
      </c>
      <c r="FO24" s="2">
        <f t="shared" si="576"/>
        <v>20</v>
      </c>
      <c r="FP24" s="2">
        <f t="shared" si="576"/>
        <v>20</v>
      </c>
      <c r="FQ24" s="2">
        <f t="shared" si="576"/>
        <v>20</v>
      </c>
      <c r="FR24" s="2">
        <f t="shared" si="576"/>
        <v>20</v>
      </c>
      <c r="FS24" s="2">
        <f t="shared" si="576"/>
        <v>20</v>
      </c>
      <c r="FT24" s="2">
        <f t="shared" si="576"/>
        <v>0</v>
      </c>
      <c r="FU24" s="2">
        <f t="shared" si="576"/>
        <v>0</v>
      </c>
      <c r="FV24" s="2">
        <f t="shared" si="576"/>
        <v>20</v>
      </c>
      <c r="FW24" s="2">
        <f t="shared" si="576"/>
        <v>20</v>
      </c>
      <c r="FX24" s="2">
        <f t="shared" si="576"/>
        <v>20</v>
      </c>
      <c r="FY24" s="2">
        <f t="shared" si="576"/>
        <v>20</v>
      </c>
      <c r="FZ24" s="2">
        <f t="shared" si="576"/>
        <v>20</v>
      </c>
      <c r="GA24" s="2">
        <f t="shared" si="576"/>
        <v>0</v>
      </c>
      <c r="GB24" s="2">
        <f t="shared" si="576"/>
        <v>0</v>
      </c>
      <c r="GC24" s="2">
        <f t="shared" si="576"/>
        <v>20</v>
      </c>
      <c r="GD24" s="2">
        <f t="shared" si="576"/>
        <v>20</v>
      </c>
      <c r="GE24" s="2">
        <f t="shared" si="576"/>
        <v>20</v>
      </c>
      <c r="GF24" s="2">
        <f t="shared" si="576"/>
        <v>20</v>
      </c>
      <c r="GG24" s="2">
        <f t="shared" si="576"/>
        <v>20</v>
      </c>
      <c r="GH24" s="2">
        <f t="shared" si="576"/>
        <v>0</v>
      </c>
      <c r="GI24" s="2">
        <f t="shared" si="576"/>
        <v>0</v>
      </c>
      <c r="GJ24" s="2">
        <f t="shared" si="576"/>
        <v>20</v>
      </c>
      <c r="GK24" s="2">
        <f t="shared" si="576"/>
        <v>20</v>
      </c>
      <c r="GL24" s="2">
        <f t="shared" si="576"/>
        <v>20</v>
      </c>
      <c r="GM24" s="2">
        <f t="shared" si="576"/>
        <v>20</v>
      </c>
      <c r="GN24" s="2">
        <f t="shared" si="576"/>
        <v>20</v>
      </c>
      <c r="GO24" s="2">
        <f t="shared" si="576"/>
        <v>0</v>
      </c>
      <c r="GP24" s="2">
        <f t="shared" si="576"/>
        <v>0</v>
      </c>
      <c r="GQ24" s="2">
        <f t="shared" si="576"/>
        <v>20</v>
      </c>
      <c r="GR24" s="2">
        <f t="shared" si="576"/>
        <v>20</v>
      </c>
      <c r="GS24" s="2">
        <f t="shared" si="576"/>
        <v>20</v>
      </c>
      <c r="GT24" s="2">
        <f t="shared" si="576"/>
        <v>20</v>
      </c>
      <c r="GU24" s="2">
        <f t="shared" si="576"/>
        <v>20</v>
      </c>
      <c r="GV24" s="2">
        <f t="shared" si="576"/>
        <v>0</v>
      </c>
      <c r="GW24" s="2">
        <f t="shared" si="576"/>
        <v>0</v>
      </c>
      <c r="GX24" s="2">
        <f t="shared" si="576"/>
        <v>20</v>
      </c>
      <c r="GY24" s="2">
        <f t="shared" si="576"/>
        <v>20</v>
      </c>
      <c r="GZ24" s="2">
        <f t="shared" si="576"/>
        <v>20</v>
      </c>
      <c r="HA24" s="2">
        <f t="shared" si="576"/>
        <v>20</v>
      </c>
      <c r="HB24" s="2">
        <f t="shared" ref="HB24:JM24" si="577">GU24</f>
        <v>20</v>
      </c>
      <c r="HC24" s="2">
        <f t="shared" si="577"/>
        <v>0</v>
      </c>
      <c r="HD24" s="2">
        <f t="shared" si="577"/>
        <v>0</v>
      </c>
      <c r="HE24" s="2">
        <f t="shared" si="577"/>
        <v>20</v>
      </c>
      <c r="HF24" s="2">
        <f t="shared" si="577"/>
        <v>20</v>
      </c>
      <c r="HG24" s="2">
        <f t="shared" si="577"/>
        <v>20</v>
      </c>
      <c r="HH24" s="2">
        <f t="shared" si="577"/>
        <v>20</v>
      </c>
      <c r="HI24" s="2">
        <f t="shared" si="577"/>
        <v>20</v>
      </c>
      <c r="HJ24" s="2">
        <f t="shared" si="577"/>
        <v>0</v>
      </c>
      <c r="HK24" s="2">
        <f t="shared" si="577"/>
        <v>0</v>
      </c>
      <c r="HL24" s="2">
        <f t="shared" si="577"/>
        <v>20</v>
      </c>
      <c r="HM24" s="2">
        <f t="shared" si="577"/>
        <v>20</v>
      </c>
      <c r="HN24" s="2">
        <f t="shared" si="577"/>
        <v>20</v>
      </c>
      <c r="HO24" s="2">
        <f t="shared" si="577"/>
        <v>20</v>
      </c>
      <c r="HP24" s="2">
        <f t="shared" si="577"/>
        <v>20</v>
      </c>
      <c r="HQ24" s="2">
        <f t="shared" si="577"/>
        <v>0</v>
      </c>
      <c r="HR24" s="2">
        <f t="shared" si="577"/>
        <v>0</v>
      </c>
      <c r="HS24" s="2">
        <f t="shared" si="577"/>
        <v>20</v>
      </c>
      <c r="HT24" s="2">
        <f t="shared" si="577"/>
        <v>20</v>
      </c>
      <c r="HU24" s="2">
        <f t="shared" si="577"/>
        <v>20</v>
      </c>
      <c r="HV24" s="2">
        <f t="shared" si="577"/>
        <v>20</v>
      </c>
      <c r="HW24" s="2">
        <f t="shared" si="577"/>
        <v>20</v>
      </c>
      <c r="HX24" s="2">
        <f t="shared" si="577"/>
        <v>0</v>
      </c>
      <c r="HY24" s="2">
        <f t="shared" si="577"/>
        <v>0</v>
      </c>
      <c r="HZ24" s="2">
        <f t="shared" si="577"/>
        <v>20</v>
      </c>
      <c r="IA24" s="2">
        <f t="shared" si="577"/>
        <v>20</v>
      </c>
      <c r="IB24" s="2">
        <f t="shared" si="577"/>
        <v>20</v>
      </c>
      <c r="IC24" s="2">
        <f t="shared" si="577"/>
        <v>20</v>
      </c>
      <c r="ID24" s="2">
        <f t="shared" si="577"/>
        <v>20</v>
      </c>
      <c r="IE24" s="2">
        <f t="shared" si="577"/>
        <v>0</v>
      </c>
      <c r="IF24" s="2">
        <f t="shared" si="577"/>
        <v>0</v>
      </c>
      <c r="IG24" s="2">
        <f t="shared" si="577"/>
        <v>20</v>
      </c>
      <c r="IH24" s="2">
        <f t="shared" si="577"/>
        <v>20</v>
      </c>
      <c r="II24" s="2">
        <f t="shared" si="577"/>
        <v>20</v>
      </c>
      <c r="IJ24" s="2">
        <f t="shared" si="577"/>
        <v>20</v>
      </c>
      <c r="IK24" s="2">
        <f t="shared" si="577"/>
        <v>20</v>
      </c>
      <c r="IL24" s="2">
        <f t="shared" si="577"/>
        <v>0</v>
      </c>
      <c r="IM24" s="2">
        <f t="shared" si="577"/>
        <v>0</v>
      </c>
      <c r="IN24" s="2">
        <f t="shared" si="577"/>
        <v>20</v>
      </c>
      <c r="IO24" s="2">
        <f t="shared" si="577"/>
        <v>20</v>
      </c>
      <c r="IP24" s="2">
        <f t="shared" si="577"/>
        <v>20</v>
      </c>
      <c r="IQ24" s="2">
        <f t="shared" si="577"/>
        <v>20</v>
      </c>
      <c r="IR24" s="2">
        <f t="shared" si="577"/>
        <v>20</v>
      </c>
      <c r="IS24" s="2">
        <f t="shared" si="577"/>
        <v>0</v>
      </c>
      <c r="IT24" s="2">
        <f t="shared" si="577"/>
        <v>0</v>
      </c>
      <c r="IU24" s="2">
        <f t="shared" si="577"/>
        <v>20</v>
      </c>
      <c r="IV24" s="2">
        <f t="shared" si="577"/>
        <v>20</v>
      </c>
      <c r="IW24" s="2">
        <f t="shared" si="577"/>
        <v>20</v>
      </c>
      <c r="IX24" s="2">
        <f t="shared" si="577"/>
        <v>20</v>
      </c>
      <c r="IY24" s="2">
        <f t="shared" si="577"/>
        <v>20</v>
      </c>
      <c r="IZ24" s="2">
        <f t="shared" si="577"/>
        <v>0</v>
      </c>
      <c r="JA24" s="2">
        <f t="shared" si="577"/>
        <v>0</v>
      </c>
      <c r="JB24" s="2">
        <f t="shared" si="577"/>
        <v>20</v>
      </c>
      <c r="JC24" s="2">
        <f t="shared" si="577"/>
        <v>20</v>
      </c>
      <c r="JD24" s="2">
        <f t="shared" si="577"/>
        <v>20</v>
      </c>
      <c r="JE24" s="2">
        <f t="shared" si="577"/>
        <v>20</v>
      </c>
      <c r="JF24" s="2">
        <f t="shared" si="577"/>
        <v>20</v>
      </c>
      <c r="JG24" s="2">
        <f t="shared" si="577"/>
        <v>0</v>
      </c>
      <c r="JH24" s="2">
        <f t="shared" si="577"/>
        <v>0</v>
      </c>
      <c r="JI24" s="2">
        <f t="shared" si="577"/>
        <v>20</v>
      </c>
      <c r="JJ24" s="2">
        <f t="shared" si="577"/>
        <v>20</v>
      </c>
      <c r="JK24" s="2">
        <f t="shared" si="577"/>
        <v>20</v>
      </c>
      <c r="JL24" s="2">
        <f t="shared" si="577"/>
        <v>20</v>
      </c>
      <c r="JM24" s="2">
        <f t="shared" si="577"/>
        <v>20</v>
      </c>
      <c r="JN24" s="2">
        <f t="shared" ref="JN24:LY24" si="578">JG24</f>
        <v>0</v>
      </c>
      <c r="JO24" s="2">
        <f t="shared" si="578"/>
        <v>0</v>
      </c>
      <c r="JP24" s="2">
        <f t="shared" si="578"/>
        <v>20</v>
      </c>
      <c r="JQ24" s="2">
        <f t="shared" si="578"/>
        <v>20</v>
      </c>
      <c r="JR24" s="2">
        <f t="shared" si="578"/>
        <v>20</v>
      </c>
      <c r="JS24" s="2">
        <f t="shared" si="578"/>
        <v>20</v>
      </c>
      <c r="JT24" s="2">
        <f t="shared" si="578"/>
        <v>20</v>
      </c>
      <c r="JU24" s="2">
        <f t="shared" si="578"/>
        <v>0</v>
      </c>
      <c r="JV24" s="2">
        <f t="shared" si="578"/>
        <v>0</v>
      </c>
      <c r="JW24" s="2">
        <f t="shared" si="578"/>
        <v>20</v>
      </c>
      <c r="JX24" s="2">
        <f t="shared" si="578"/>
        <v>20</v>
      </c>
      <c r="JY24" s="2">
        <f t="shared" si="578"/>
        <v>20</v>
      </c>
      <c r="JZ24" s="2">
        <f t="shared" si="578"/>
        <v>20</v>
      </c>
      <c r="KA24" s="2">
        <f t="shared" si="578"/>
        <v>20</v>
      </c>
      <c r="KB24" s="2">
        <f t="shared" si="578"/>
        <v>0</v>
      </c>
      <c r="KC24" s="2">
        <f t="shared" si="578"/>
        <v>0</v>
      </c>
      <c r="KD24" s="2">
        <f t="shared" si="578"/>
        <v>20</v>
      </c>
      <c r="KE24" s="2">
        <f t="shared" si="578"/>
        <v>20</v>
      </c>
      <c r="KF24" s="2">
        <f t="shared" si="578"/>
        <v>20</v>
      </c>
      <c r="KG24" s="2">
        <f t="shared" si="578"/>
        <v>20</v>
      </c>
      <c r="KH24" s="2">
        <f t="shared" si="578"/>
        <v>20</v>
      </c>
      <c r="KI24" s="2">
        <f t="shared" si="578"/>
        <v>0</v>
      </c>
      <c r="KJ24" s="2">
        <f t="shared" si="578"/>
        <v>0</v>
      </c>
      <c r="KK24" s="2">
        <f t="shared" si="578"/>
        <v>20</v>
      </c>
      <c r="KL24" s="2">
        <f t="shared" si="578"/>
        <v>20</v>
      </c>
      <c r="KM24" s="2">
        <f t="shared" si="578"/>
        <v>20</v>
      </c>
      <c r="KN24" s="2">
        <f t="shared" si="578"/>
        <v>20</v>
      </c>
      <c r="KO24" s="2">
        <f t="shared" si="578"/>
        <v>20</v>
      </c>
      <c r="KP24" s="2">
        <f t="shared" si="578"/>
        <v>0</v>
      </c>
      <c r="KQ24" s="2">
        <f t="shared" si="578"/>
        <v>0</v>
      </c>
      <c r="KR24" s="2">
        <f t="shared" si="578"/>
        <v>20</v>
      </c>
      <c r="KS24" s="2">
        <f t="shared" si="578"/>
        <v>20</v>
      </c>
      <c r="KT24" s="2">
        <f t="shared" si="578"/>
        <v>20</v>
      </c>
      <c r="KU24" s="2">
        <f t="shared" si="578"/>
        <v>20</v>
      </c>
      <c r="KV24" s="2">
        <f t="shared" si="578"/>
        <v>20</v>
      </c>
      <c r="KW24" s="2">
        <f t="shared" si="578"/>
        <v>0</v>
      </c>
      <c r="KX24" s="2">
        <f t="shared" si="578"/>
        <v>0</v>
      </c>
      <c r="KY24" s="2">
        <f t="shared" si="578"/>
        <v>20</v>
      </c>
      <c r="KZ24" s="2">
        <f t="shared" si="578"/>
        <v>20</v>
      </c>
      <c r="LA24" s="2">
        <f t="shared" si="578"/>
        <v>20</v>
      </c>
      <c r="LB24" s="2">
        <f t="shared" si="578"/>
        <v>20</v>
      </c>
      <c r="LC24" s="2">
        <f t="shared" si="578"/>
        <v>20</v>
      </c>
      <c r="LD24" s="2">
        <f t="shared" si="578"/>
        <v>0</v>
      </c>
      <c r="LE24" s="2">
        <f t="shared" si="578"/>
        <v>0</v>
      </c>
      <c r="LF24" s="2">
        <f t="shared" si="578"/>
        <v>20</v>
      </c>
      <c r="LG24" s="2">
        <f t="shared" si="578"/>
        <v>20</v>
      </c>
      <c r="LH24" s="2">
        <f t="shared" si="578"/>
        <v>20</v>
      </c>
      <c r="LI24" s="2">
        <f t="shared" si="578"/>
        <v>20</v>
      </c>
      <c r="LJ24" s="2">
        <f t="shared" si="578"/>
        <v>20</v>
      </c>
      <c r="LK24" s="2">
        <f t="shared" si="578"/>
        <v>0</v>
      </c>
      <c r="LL24" s="2">
        <f t="shared" si="578"/>
        <v>0</v>
      </c>
      <c r="LM24" s="2">
        <f t="shared" si="578"/>
        <v>20</v>
      </c>
      <c r="LN24" s="2">
        <f t="shared" si="578"/>
        <v>20</v>
      </c>
      <c r="LO24" s="2">
        <f t="shared" si="578"/>
        <v>20</v>
      </c>
      <c r="LP24" s="2">
        <f t="shared" si="578"/>
        <v>20</v>
      </c>
      <c r="LQ24" s="2">
        <f t="shared" si="578"/>
        <v>20</v>
      </c>
      <c r="LR24" s="2">
        <f t="shared" si="578"/>
        <v>0</v>
      </c>
      <c r="LS24" s="2">
        <f t="shared" si="578"/>
        <v>0</v>
      </c>
      <c r="LT24" s="2">
        <f t="shared" si="578"/>
        <v>20</v>
      </c>
      <c r="LU24" s="2">
        <f t="shared" si="578"/>
        <v>20</v>
      </c>
      <c r="LV24" s="2">
        <f t="shared" si="578"/>
        <v>20</v>
      </c>
      <c r="LW24" s="2">
        <f t="shared" si="578"/>
        <v>20</v>
      </c>
      <c r="LX24" s="2">
        <f t="shared" si="578"/>
        <v>20</v>
      </c>
      <c r="LY24" s="2">
        <f t="shared" si="578"/>
        <v>0</v>
      </c>
      <c r="LZ24" s="2">
        <f t="shared" ref="LZ24:OK24" si="579">LS24</f>
        <v>0</v>
      </c>
      <c r="MA24" s="2">
        <f t="shared" si="579"/>
        <v>20</v>
      </c>
      <c r="MB24" s="2">
        <f t="shared" si="579"/>
        <v>20</v>
      </c>
      <c r="MC24" s="2">
        <f t="shared" si="579"/>
        <v>20</v>
      </c>
      <c r="MD24" s="2">
        <f t="shared" si="579"/>
        <v>20</v>
      </c>
      <c r="ME24" s="2">
        <f t="shared" si="579"/>
        <v>20</v>
      </c>
      <c r="MF24" s="2">
        <f t="shared" si="579"/>
        <v>0</v>
      </c>
      <c r="MG24" s="2">
        <f t="shared" si="579"/>
        <v>0</v>
      </c>
      <c r="MH24" s="2">
        <f t="shared" si="579"/>
        <v>20</v>
      </c>
      <c r="MI24" s="2">
        <f t="shared" si="579"/>
        <v>20</v>
      </c>
      <c r="MJ24" s="2">
        <f t="shared" si="579"/>
        <v>20</v>
      </c>
      <c r="MK24" s="2">
        <f t="shared" si="579"/>
        <v>20</v>
      </c>
      <c r="ML24" s="2">
        <f t="shared" si="579"/>
        <v>20</v>
      </c>
      <c r="MM24" s="2">
        <f t="shared" si="579"/>
        <v>0</v>
      </c>
      <c r="MN24" s="2">
        <f t="shared" si="579"/>
        <v>0</v>
      </c>
      <c r="MO24" s="2">
        <f t="shared" si="579"/>
        <v>20</v>
      </c>
      <c r="MP24" s="2">
        <f t="shared" si="579"/>
        <v>20</v>
      </c>
      <c r="MQ24" s="2">
        <f t="shared" si="579"/>
        <v>20</v>
      </c>
      <c r="MR24" s="2">
        <f t="shared" si="579"/>
        <v>20</v>
      </c>
      <c r="MS24" s="2">
        <f t="shared" si="579"/>
        <v>20</v>
      </c>
      <c r="MT24" s="2">
        <f t="shared" si="579"/>
        <v>0</v>
      </c>
      <c r="MU24" s="2">
        <f t="shared" si="579"/>
        <v>0</v>
      </c>
      <c r="MV24" s="2">
        <f t="shared" si="579"/>
        <v>20</v>
      </c>
      <c r="MW24" s="2">
        <f t="shared" si="579"/>
        <v>20</v>
      </c>
      <c r="MX24" s="2">
        <f t="shared" si="579"/>
        <v>20</v>
      </c>
      <c r="MY24" s="2">
        <f t="shared" si="579"/>
        <v>20</v>
      </c>
      <c r="MZ24" s="2">
        <f t="shared" si="579"/>
        <v>20</v>
      </c>
      <c r="NA24" s="2">
        <f t="shared" si="579"/>
        <v>0</v>
      </c>
      <c r="NB24" s="2">
        <f t="shared" si="579"/>
        <v>0</v>
      </c>
      <c r="NC24" s="2">
        <f t="shared" si="579"/>
        <v>20</v>
      </c>
      <c r="ND24" s="2">
        <f t="shared" si="579"/>
        <v>20</v>
      </c>
      <c r="NE24" s="2">
        <f t="shared" si="579"/>
        <v>20</v>
      </c>
      <c r="NF24" s="2">
        <f t="shared" si="579"/>
        <v>20</v>
      </c>
      <c r="NG24" s="2">
        <f t="shared" si="579"/>
        <v>20</v>
      </c>
      <c r="NH24" s="2">
        <f t="shared" si="579"/>
        <v>0</v>
      </c>
      <c r="NI24" s="2">
        <f t="shared" si="579"/>
        <v>0</v>
      </c>
      <c r="NJ24" s="2">
        <f t="shared" si="579"/>
        <v>20</v>
      </c>
      <c r="NK24" s="2">
        <f t="shared" si="579"/>
        <v>20</v>
      </c>
      <c r="NL24" s="2">
        <f t="shared" si="579"/>
        <v>20</v>
      </c>
      <c r="NM24" s="2">
        <f t="shared" si="579"/>
        <v>20</v>
      </c>
      <c r="NN24" s="2">
        <f t="shared" si="579"/>
        <v>20</v>
      </c>
      <c r="NO24" s="2">
        <f t="shared" si="579"/>
        <v>0</v>
      </c>
      <c r="NP24" s="2">
        <f t="shared" si="579"/>
        <v>0</v>
      </c>
      <c r="NQ24" s="2">
        <f t="shared" si="579"/>
        <v>20</v>
      </c>
      <c r="NR24" s="2">
        <f t="shared" si="579"/>
        <v>20</v>
      </c>
      <c r="NS24" s="2">
        <f t="shared" si="579"/>
        <v>20</v>
      </c>
      <c r="NT24" s="2">
        <f t="shared" si="579"/>
        <v>20</v>
      </c>
      <c r="NU24" s="2">
        <f t="shared" si="579"/>
        <v>20</v>
      </c>
      <c r="NV24" s="2">
        <f t="shared" si="579"/>
        <v>0</v>
      </c>
      <c r="NW24" s="2">
        <f t="shared" si="579"/>
        <v>0</v>
      </c>
      <c r="NX24" s="2">
        <f t="shared" si="579"/>
        <v>20</v>
      </c>
      <c r="NY24" s="2">
        <f t="shared" si="579"/>
        <v>20</v>
      </c>
      <c r="NZ24" s="2">
        <f t="shared" si="579"/>
        <v>20</v>
      </c>
      <c r="OA24" s="2">
        <f t="shared" si="579"/>
        <v>20</v>
      </c>
      <c r="OB24" s="2">
        <f t="shared" si="579"/>
        <v>20</v>
      </c>
      <c r="OC24" s="2">
        <f t="shared" si="579"/>
        <v>0</v>
      </c>
      <c r="OD24" s="2">
        <f t="shared" si="579"/>
        <v>0</v>
      </c>
      <c r="OE24" s="2">
        <f t="shared" si="579"/>
        <v>20</v>
      </c>
      <c r="OF24" s="2">
        <f t="shared" si="579"/>
        <v>20</v>
      </c>
      <c r="OG24" s="2">
        <f t="shared" si="579"/>
        <v>20</v>
      </c>
      <c r="OH24" s="2">
        <f t="shared" si="579"/>
        <v>20</v>
      </c>
      <c r="OI24" s="2">
        <f t="shared" si="579"/>
        <v>20</v>
      </c>
      <c r="OJ24" s="2">
        <f t="shared" si="579"/>
        <v>0</v>
      </c>
      <c r="OK24" s="2">
        <f t="shared" si="579"/>
        <v>0</v>
      </c>
      <c r="OL24" s="2">
        <f t="shared" ref="OL24:QW24" si="580">OE24</f>
        <v>20</v>
      </c>
      <c r="OM24" s="2">
        <f t="shared" si="580"/>
        <v>20</v>
      </c>
      <c r="ON24" s="2">
        <f t="shared" si="580"/>
        <v>20</v>
      </c>
      <c r="OO24" s="2">
        <f t="shared" si="580"/>
        <v>20</v>
      </c>
      <c r="OP24" s="2">
        <f t="shared" si="580"/>
        <v>20</v>
      </c>
      <c r="OQ24" s="2">
        <f t="shared" si="580"/>
        <v>0</v>
      </c>
      <c r="OR24" s="2">
        <f t="shared" si="580"/>
        <v>0</v>
      </c>
      <c r="OS24" s="2">
        <f t="shared" si="580"/>
        <v>20</v>
      </c>
      <c r="OT24" s="2">
        <f t="shared" si="580"/>
        <v>20</v>
      </c>
      <c r="OU24" s="2">
        <f t="shared" si="580"/>
        <v>20</v>
      </c>
      <c r="OV24" s="2">
        <f t="shared" si="580"/>
        <v>20</v>
      </c>
      <c r="OW24" s="2">
        <f t="shared" si="580"/>
        <v>20</v>
      </c>
      <c r="OX24" s="2">
        <f t="shared" si="580"/>
        <v>0</v>
      </c>
      <c r="OY24" s="2">
        <f t="shared" si="580"/>
        <v>0</v>
      </c>
      <c r="OZ24" s="2">
        <f t="shared" si="580"/>
        <v>20</v>
      </c>
      <c r="PA24" s="2">
        <f t="shared" si="580"/>
        <v>20</v>
      </c>
      <c r="PB24" s="2">
        <f t="shared" si="580"/>
        <v>20</v>
      </c>
      <c r="PC24" s="2">
        <f t="shared" si="580"/>
        <v>20</v>
      </c>
      <c r="PD24" s="2">
        <f t="shared" si="580"/>
        <v>20</v>
      </c>
      <c r="PE24" s="2">
        <f t="shared" si="580"/>
        <v>0</v>
      </c>
      <c r="PF24" s="2">
        <f t="shared" si="580"/>
        <v>0</v>
      </c>
      <c r="PG24" s="2">
        <f t="shared" si="580"/>
        <v>20</v>
      </c>
      <c r="PH24" s="2">
        <f t="shared" si="580"/>
        <v>20</v>
      </c>
      <c r="PI24" s="2">
        <f t="shared" si="580"/>
        <v>20</v>
      </c>
      <c r="PJ24" s="2">
        <f t="shared" si="580"/>
        <v>20</v>
      </c>
      <c r="PK24" s="2">
        <f t="shared" si="580"/>
        <v>20</v>
      </c>
      <c r="PL24" s="2">
        <f t="shared" si="580"/>
        <v>0</v>
      </c>
      <c r="PM24" s="2">
        <f t="shared" si="580"/>
        <v>0</v>
      </c>
      <c r="PN24" s="2">
        <f t="shared" si="580"/>
        <v>20</v>
      </c>
      <c r="PO24" s="2">
        <f t="shared" si="580"/>
        <v>20</v>
      </c>
      <c r="PP24" s="2">
        <f t="shared" si="580"/>
        <v>20</v>
      </c>
      <c r="PQ24" s="2">
        <f t="shared" si="580"/>
        <v>20</v>
      </c>
      <c r="PR24" s="2">
        <f t="shared" si="580"/>
        <v>20</v>
      </c>
      <c r="PS24" s="2">
        <f t="shared" si="580"/>
        <v>0</v>
      </c>
      <c r="PT24" s="2">
        <f t="shared" si="580"/>
        <v>0</v>
      </c>
      <c r="PU24" s="2">
        <f t="shared" si="580"/>
        <v>20</v>
      </c>
      <c r="PV24" s="2">
        <f t="shared" si="580"/>
        <v>20</v>
      </c>
      <c r="PW24" s="2">
        <f t="shared" si="580"/>
        <v>20</v>
      </c>
      <c r="PX24" s="2">
        <f t="shared" si="580"/>
        <v>20</v>
      </c>
      <c r="PY24" s="2">
        <f t="shared" si="580"/>
        <v>20</v>
      </c>
      <c r="PZ24" s="2">
        <f t="shared" si="580"/>
        <v>0</v>
      </c>
      <c r="QA24" s="2">
        <f t="shared" si="580"/>
        <v>0</v>
      </c>
      <c r="QB24" s="2">
        <f t="shared" si="580"/>
        <v>20</v>
      </c>
      <c r="QC24" s="2">
        <f t="shared" si="580"/>
        <v>20</v>
      </c>
      <c r="QD24" s="2">
        <f t="shared" si="580"/>
        <v>20</v>
      </c>
      <c r="QE24" s="2">
        <f t="shared" si="580"/>
        <v>20</v>
      </c>
      <c r="QF24" s="2">
        <f t="shared" si="580"/>
        <v>20</v>
      </c>
      <c r="QG24" s="2">
        <f t="shared" si="580"/>
        <v>0</v>
      </c>
      <c r="QH24" s="2">
        <f t="shared" si="580"/>
        <v>0</v>
      </c>
      <c r="QI24" s="2">
        <f t="shared" si="580"/>
        <v>20</v>
      </c>
      <c r="QJ24" s="2">
        <f t="shared" si="580"/>
        <v>20</v>
      </c>
      <c r="QK24" s="2">
        <f t="shared" si="580"/>
        <v>20</v>
      </c>
      <c r="QL24" s="2">
        <f t="shared" si="580"/>
        <v>20</v>
      </c>
      <c r="QM24" s="2">
        <f t="shared" si="580"/>
        <v>20</v>
      </c>
      <c r="QN24" s="2">
        <f t="shared" si="580"/>
        <v>0</v>
      </c>
      <c r="QO24" s="2">
        <f t="shared" si="580"/>
        <v>0</v>
      </c>
      <c r="QP24" s="2">
        <f t="shared" si="580"/>
        <v>20</v>
      </c>
      <c r="QQ24" s="2">
        <f t="shared" si="580"/>
        <v>20</v>
      </c>
      <c r="QR24" s="2">
        <f t="shared" si="580"/>
        <v>20</v>
      </c>
      <c r="QS24" s="2">
        <f t="shared" si="580"/>
        <v>20</v>
      </c>
      <c r="QT24" s="2">
        <f t="shared" si="580"/>
        <v>20</v>
      </c>
      <c r="QU24" s="2">
        <f t="shared" si="580"/>
        <v>0</v>
      </c>
      <c r="QV24" s="2">
        <f t="shared" si="580"/>
        <v>0</v>
      </c>
      <c r="QW24" s="2">
        <f t="shared" si="580"/>
        <v>20</v>
      </c>
      <c r="QX24" s="2">
        <f t="shared" ref="QX24:TI24" si="581">QQ24</f>
        <v>20</v>
      </c>
      <c r="QY24" s="2">
        <f t="shared" si="581"/>
        <v>20</v>
      </c>
      <c r="QZ24" s="2">
        <f t="shared" si="581"/>
        <v>20</v>
      </c>
      <c r="RA24" s="2">
        <f t="shared" si="581"/>
        <v>20</v>
      </c>
      <c r="RB24" s="2">
        <f t="shared" si="581"/>
        <v>0</v>
      </c>
      <c r="RC24" s="2">
        <f t="shared" si="581"/>
        <v>0</v>
      </c>
      <c r="RD24" s="2">
        <f t="shared" si="581"/>
        <v>20</v>
      </c>
      <c r="RE24" s="2">
        <f t="shared" si="581"/>
        <v>20</v>
      </c>
      <c r="RF24" s="2">
        <f t="shared" si="581"/>
        <v>20</v>
      </c>
      <c r="RG24" s="2">
        <f t="shared" si="581"/>
        <v>20</v>
      </c>
      <c r="RH24" s="2">
        <f t="shared" si="581"/>
        <v>20</v>
      </c>
      <c r="RI24" s="2">
        <f t="shared" si="581"/>
        <v>0</v>
      </c>
      <c r="RJ24" s="2">
        <f t="shared" si="581"/>
        <v>0</v>
      </c>
      <c r="RK24" s="2">
        <f t="shared" si="581"/>
        <v>20</v>
      </c>
      <c r="RL24" s="2">
        <f t="shared" si="581"/>
        <v>20</v>
      </c>
      <c r="RM24" s="2">
        <f t="shared" si="581"/>
        <v>20</v>
      </c>
      <c r="RN24" s="2">
        <f t="shared" si="581"/>
        <v>20</v>
      </c>
      <c r="RO24" s="2">
        <f t="shared" si="581"/>
        <v>20</v>
      </c>
      <c r="RP24" s="2">
        <f t="shared" si="581"/>
        <v>0</v>
      </c>
      <c r="RQ24" s="2">
        <f t="shared" si="581"/>
        <v>0</v>
      </c>
      <c r="RR24" s="2">
        <f t="shared" si="581"/>
        <v>20</v>
      </c>
      <c r="RS24" s="2">
        <f t="shared" si="581"/>
        <v>20</v>
      </c>
      <c r="RT24" s="2">
        <f t="shared" si="581"/>
        <v>20</v>
      </c>
      <c r="RU24" s="2">
        <f t="shared" si="581"/>
        <v>20</v>
      </c>
      <c r="RV24" s="2">
        <f t="shared" si="581"/>
        <v>20</v>
      </c>
      <c r="RW24" s="2">
        <f t="shared" si="581"/>
        <v>0</v>
      </c>
      <c r="RX24" s="2">
        <f t="shared" si="581"/>
        <v>0</v>
      </c>
      <c r="RY24" s="2">
        <f t="shared" si="581"/>
        <v>20</v>
      </c>
      <c r="RZ24" s="2">
        <f t="shared" si="581"/>
        <v>20</v>
      </c>
      <c r="SA24" s="2">
        <f t="shared" si="581"/>
        <v>20</v>
      </c>
      <c r="SB24" s="2">
        <f t="shared" si="581"/>
        <v>20</v>
      </c>
      <c r="SC24" s="2">
        <f t="shared" si="581"/>
        <v>20</v>
      </c>
      <c r="SD24" s="2">
        <f t="shared" si="581"/>
        <v>0</v>
      </c>
      <c r="SE24" s="2">
        <f t="shared" si="581"/>
        <v>0</v>
      </c>
      <c r="SF24" s="2">
        <f t="shared" si="581"/>
        <v>20</v>
      </c>
      <c r="SG24" s="2">
        <f t="shared" si="581"/>
        <v>20</v>
      </c>
      <c r="SH24" s="2">
        <f t="shared" si="581"/>
        <v>20</v>
      </c>
      <c r="SI24" s="2">
        <f t="shared" si="581"/>
        <v>20</v>
      </c>
      <c r="SJ24" s="2">
        <f t="shared" si="581"/>
        <v>20</v>
      </c>
      <c r="SK24" s="2">
        <f t="shared" si="581"/>
        <v>0</v>
      </c>
      <c r="SL24" s="2">
        <f t="shared" si="581"/>
        <v>0</v>
      </c>
      <c r="SM24" s="2">
        <f t="shared" si="581"/>
        <v>20</v>
      </c>
      <c r="SN24" s="2">
        <f t="shared" si="581"/>
        <v>20</v>
      </c>
      <c r="SO24" s="2">
        <f t="shared" si="581"/>
        <v>20</v>
      </c>
      <c r="SP24" s="2">
        <f t="shared" si="581"/>
        <v>20</v>
      </c>
      <c r="SQ24" s="2">
        <f t="shared" si="581"/>
        <v>20</v>
      </c>
      <c r="SR24" s="2">
        <f t="shared" si="581"/>
        <v>0</v>
      </c>
      <c r="SS24" s="2">
        <f t="shared" si="581"/>
        <v>0</v>
      </c>
      <c r="ST24" s="2">
        <f t="shared" si="581"/>
        <v>20</v>
      </c>
      <c r="SU24" s="2">
        <f t="shared" si="581"/>
        <v>20</v>
      </c>
      <c r="SV24" s="2">
        <f t="shared" si="581"/>
        <v>20</v>
      </c>
      <c r="SW24" s="2">
        <f t="shared" si="581"/>
        <v>20</v>
      </c>
      <c r="SX24" s="2">
        <f t="shared" si="581"/>
        <v>20</v>
      </c>
      <c r="SY24" s="2">
        <f t="shared" si="581"/>
        <v>0</v>
      </c>
      <c r="SZ24" s="2">
        <f t="shared" si="581"/>
        <v>0</v>
      </c>
      <c r="TA24" s="2">
        <f t="shared" si="581"/>
        <v>20</v>
      </c>
      <c r="TB24" s="2">
        <f t="shared" si="581"/>
        <v>20</v>
      </c>
      <c r="TC24" s="2">
        <f t="shared" si="581"/>
        <v>20</v>
      </c>
      <c r="TD24" s="2">
        <f t="shared" si="581"/>
        <v>20</v>
      </c>
      <c r="TE24" s="2">
        <f t="shared" si="581"/>
        <v>20</v>
      </c>
      <c r="TF24" s="2">
        <f t="shared" si="581"/>
        <v>0</v>
      </c>
      <c r="TG24" s="2">
        <f t="shared" si="581"/>
        <v>0</v>
      </c>
      <c r="TH24" s="2">
        <f t="shared" si="581"/>
        <v>20</v>
      </c>
      <c r="TI24" s="2">
        <f t="shared" si="581"/>
        <v>20</v>
      </c>
      <c r="TJ24" s="2">
        <f t="shared" ref="TJ24:VU24" si="582">TC24</f>
        <v>20</v>
      </c>
      <c r="TK24" s="2">
        <f t="shared" si="582"/>
        <v>20</v>
      </c>
      <c r="TL24" s="2">
        <f t="shared" si="582"/>
        <v>20</v>
      </c>
      <c r="TM24" s="2">
        <f t="shared" si="582"/>
        <v>0</v>
      </c>
      <c r="TN24" s="2">
        <f t="shared" si="582"/>
        <v>0</v>
      </c>
      <c r="TO24" s="2">
        <f t="shared" si="582"/>
        <v>20</v>
      </c>
      <c r="TP24" s="2">
        <f t="shared" si="582"/>
        <v>20</v>
      </c>
      <c r="TQ24" s="2">
        <f t="shared" si="582"/>
        <v>20</v>
      </c>
      <c r="TR24" s="2">
        <f t="shared" si="582"/>
        <v>20</v>
      </c>
      <c r="TS24" s="2">
        <f t="shared" si="582"/>
        <v>20</v>
      </c>
      <c r="TT24" s="2">
        <f t="shared" si="582"/>
        <v>0</v>
      </c>
      <c r="TU24" s="2">
        <f t="shared" si="582"/>
        <v>0</v>
      </c>
      <c r="TV24" s="2">
        <f t="shared" si="582"/>
        <v>20</v>
      </c>
      <c r="TW24" s="2">
        <f t="shared" si="582"/>
        <v>20</v>
      </c>
      <c r="TX24" s="2">
        <f t="shared" si="582"/>
        <v>20</v>
      </c>
      <c r="TY24" s="2">
        <f t="shared" si="582"/>
        <v>20</v>
      </c>
      <c r="TZ24" s="2">
        <f t="shared" si="582"/>
        <v>20</v>
      </c>
      <c r="UA24" s="2">
        <f t="shared" si="582"/>
        <v>0</v>
      </c>
      <c r="UB24" s="2">
        <f t="shared" si="582"/>
        <v>0</v>
      </c>
      <c r="UC24" s="2">
        <f t="shared" si="582"/>
        <v>20</v>
      </c>
      <c r="UD24" s="2">
        <f t="shared" si="582"/>
        <v>20</v>
      </c>
      <c r="UE24" s="2">
        <f t="shared" si="582"/>
        <v>20</v>
      </c>
      <c r="UF24" s="2">
        <f t="shared" si="582"/>
        <v>20</v>
      </c>
      <c r="UG24" s="2">
        <f t="shared" si="582"/>
        <v>20</v>
      </c>
      <c r="UH24" s="2">
        <f t="shared" si="582"/>
        <v>0</v>
      </c>
      <c r="UI24" s="2">
        <f t="shared" si="582"/>
        <v>0</v>
      </c>
      <c r="UJ24" s="2">
        <f t="shared" si="582"/>
        <v>20</v>
      </c>
      <c r="UK24" s="2">
        <f t="shared" si="582"/>
        <v>20</v>
      </c>
      <c r="UL24" s="2">
        <f t="shared" si="582"/>
        <v>20</v>
      </c>
      <c r="UM24" s="2">
        <f t="shared" si="582"/>
        <v>20</v>
      </c>
      <c r="UN24" s="2">
        <f t="shared" si="582"/>
        <v>20</v>
      </c>
      <c r="UO24" s="2">
        <f t="shared" si="582"/>
        <v>0</v>
      </c>
      <c r="UP24" s="2">
        <f t="shared" si="582"/>
        <v>0</v>
      </c>
      <c r="UQ24" s="2">
        <f t="shared" si="582"/>
        <v>20</v>
      </c>
      <c r="UR24" s="2">
        <f t="shared" si="582"/>
        <v>20</v>
      </c>
      <c r="US24" s="2">
        <f t="shared" si="582"/>
        <v>20</v>
      </c>
      <c r="UT24" s="2">
        <f t="shared" si="582"/>
        <v>20</v>
      </c>
      <c r="UU24" s="2">
        <f t="shared" si="582"/>
        <v>20</v>
      </c>
      <c r="UV24" s="2">
        <f t="shared" si="582"/>
        <v>0</v>
      </c>
      <c r="UW24" s="2">
        <f t="shared" si="582"/>
        <v>0</v>
      </c>
      <c r="UX24" s="2">
        <f t="shared" si="582"/>
        <v>20</v>
      </c>
      <c r="UY24" s="2">
        <f t="shared" si="582"/>
        <v>20</v>
      </c>
      <c r="UZ24" s="2">
        <f t="shared" si="582"/>
        <v>20</v>
      </c>
      <c r="VA24" s="2">
        <f t="shared" si="582"/>
        <v>20</v>
      </c>
      <c r="VB24" s="2">
        <f t="shared" si="582"/>
        <v>20</v>
      </c>
      <c r="VC24" s="2">
        <f t="shared" si="582"/>
        <v>0</v>
      </c>
      <c r="VD24" s="2">
        <f t="shared" si="582"/>
        <v>0</v>
      </c>
      <c r="VE24" s="2">
        <f t="shared" si="582"/>
        <v>20</v>
      </c>
      <c r="VF24" s="2">
        <f t="shared" si="582"/>
        <v>20</v>
      </c>
      <c r="VG24" s="2">
        <f t="shared" si="582"/>
        <v>20</v>
      </c>
      <c r="VH24" s="2">
        <f t="shared" si="582"/>
        <v>20</v>
      </c>
      <c r="VI24" s="2">
        <f t="shared" si="582"/>
        <v>20</v>
      </c>
      <c r="VJ24" s="2">
        <f t="shared" si="582"/>
        <v>0</v>
      </c>
      <c r="VK24" s="2">
        <f t="shared" si="582"/>
        <v>0</v>
      </c>
      <c r="VL24" s="2">
        <f t="shared" si="582"/>
        <v>20</v>
      </c>
      <c r="VM24" s="2">
        <f t="shared" si="582"/>
        <v>20</v>
      </c>
      <c r="VN24" s="2">
        <f t="shared" si="582"/>
        <v>20</v>
      </c>
      <c r="VO24" s="2">
        <f t="shared" si="582"/>
        <v>20</v>
      </c>
      <c r="VP24" s="2">
        <f t="shared" si="582"/>
        <v>20</v>
      </c>
      <c r="VQ24" s="2">
        <f t="shared" si="582"/>
        <v>0</v>
      </c>
      <c r="VR24" s="2">
        <f t="shared" si="582"/>
        <v>0</v>
      </c>
      <c r="VS24" s="2">
        <f t="shared" si="582"/>
        <v>20</v>
      </c>
      <c r="VT24" s="2">
        <f t="shared" si="582"/>
        <v>20</v>
      </c>
      <c r="VU24" s="2">
        <f t="shared" si="582"/>
        <v>20</v>
      </c>
      <c r="VV24" s="2">
        <f t="shared" ref="VV24:XQ24" si="583">VO24</f>
        <v>20</v>
      </c>
      <c r="VW24" s="2">
        <f t="shared" si="583"/>
        <v>20</v>
      </c>
      <c r="VX24" s="2">
        <f t="shared" si="583"/>
        <v>0</v>
      </c>
      <c r="VY24" s="2">
        <f t="shared" si="583"/>
        <v>0</v>
      </c>
      <c r="VZ24" s="2">
        <f t="shared" si="583"/>
        <v>20</v>
      </c>
      <c r="WA24" s="2">
        <f t="shared" si="583"/>
        <v>20</v>
      </c>
      <c r="WB24" s="2">
        <f t="shared" si="583"/>
        <v>20</v>
      </c>
      <c r="WC24" s="2">
        <f t="shared" si="583"/>
        <v>20</v>
      </c>
      <c r="WD24" s="2">
        <f t="shared" si="583"/>
        <v>20</v>
      </c>
      <c r="WE24" s="2">
        <f t="shared" si="583"/>
        <v>0</v>
      </c>
      <c r="WF24" s="2">
        <f t="shared" si="583"/>
        <v>0</v>
      </c>
      <c r="WG24" s="2">
        <f t="shared" si="583"/>
        <v>20</v>
      </c>
      <c r="WH24" s="2">
        <f t="shared" si="583"/>
        <v>20</v>
      </c>
      <c r="WI24" s="2">
        <f t="shared" si="583"/>
        <v>20</v>
      </c>
      <c r="WJ24" s="2">
        <f t="shared" si="583"/>
        <v>20</v>
      </c>
      <c r="WK24" s="2">
        <f t="shared" si="583"/>
        <v>20</v>
      </c>
      <c r="WL24" s="2">
        <f t="shared" si="583"/>
        <v>0</v>
      </c>
      <c r="WM24" s="2">
        <f t="shared" si="583"/>
        <v>0</v>
      </c>
      <c r="WN24" s="2">
        <f t="shared" si="583"/>
        <v>20</v>
      </c>
      <c r="WO24" s="2">
        <f t="shared" si="583"/>
        <v>20</v>
      </c>
      <c r="WP24" s="2">
        <f t="shared" si="583"/>
        <v>20</v>
      </c>
      <c r="WQ24" s="2">
        <f t="shared" si="583"/>
        <v>20</v>
      </c>
      <c r="WR24" s="2">
        <f t="shared" si="583"/>
        <v>20</v>
      </c>
      <c r="WS24" s="2">
        <f t="shared" si="583"/>
        <v>0</v>
      </c>
      <c r="WT24" s="2">
        <f t="shared" si="583"/>
        <v>0</v>
      </c>
      <c r="WU24" s="2">
        <f t="shared" si="583"/>
        <v>20</v>
      </c>
      <c r="WV24" s="2">
        <f t="shared" si="583"/>
        <v>20</v>
      </c>
      <c r="WW24" s="2">
        <f t="shared" si="583"/>
        <v>20</v>
      </c>
      <c r="WX24" s="2">
        <f t="shared" si="583"/>
        <v>20</v>
      </c>
      <c r="WY24" s="2">
        <f t="shared" si="583"/>
        <v>20</v>
      </c>
      <c r="WZ24" s="2">
        <f t="shared" si="583"/>
        <v>0</v>
      </c>
      <c r="XA24" s="2">
        <f t="shared" si="583"/>
        <v>0</v>
      </c>
      <c r="XB24" s="2">
        <f t="shared" si="583"/>
        <v>20</v>
      </c>
      <c r="XC24" s="2">
        <f t="shared" si="583"/>
        <v>20</v>
      </c>
      <c r="XD24" s="2">
        <f t="shared" si="583"/>
        <v>20</v>
      </c>
      <c r="XE24" s="2">
        <f t="shared" si="583"/>
        <v>20</v>
      </c>
      <c r="XF24" s="2">
        <f t="shared" si="583"/>
        <v>20</v>
      </c>
      <c r="XG24" s="2">
        <f t="shared" si="583"/>
        <v>0</v>
      </c>
      <c r="XH24" s="2">
        <f t="shared" si="583"/>
        <v>0</v>
      </c>
      <c r="XI24" s="2">
        <f t="shared" si="583"/>
        <v>20</v>
      </c>
      <c r="XJ24" s="2">
        <f t="shared" si="583"/>
        <v>20</v>
      </c>
      <c r="XK24" s="2">
        <f t="shared" si="583"/>
        <v>20</v>
      </c>
      <c r="XL24" s="2">
        <f t="shared" si="583"/>
        <v>20</v>
      </c>
      <c r="XM24" s="2">
        <f t="shared" si="583"/>
        <v>20</v>
      </c>
      <c r="XN24" s="2">
        <f t="shared" si="583"/>
        <v>0</v>
      </c>
      <c r="XO24" s="2">
        <f t="shared" si="583"/>
        <v>0</v>
      </c>
      <c r="XP24" s="2">
        <f t="shared" si="583"/>
        <v>20</v>
      </c>
      <c r="XQ24" s="2">
        <f t="shared" si="583"/>
        <v>20</v>
      </c>
    </row>
    <row r="25" spans="2:641" x14ac:dyDescent="0.3">
      <c r="B25" s="16" t="s">
        <v>76</v>
      </c>
      <c r="C25" s="2">
        <f>-SUM(C23+C24)*$D$6</f>
        <v>-743.54875000000004</v>
      </c>
      <c r="D25" s="2">
        <f t="shared" ref="D25:BO25" si="584">-SUM(D23+D24)*$D$6</f>
        <v>-1345.4691666666668</v>
      </c>
      <c r="E25" s="2">
        <f t="shared" si="584"/>
        <v>-1947.3895833333336</v>
      </c>
      <c r="F25" s="2">
        <f t="shared" si="584"/>
        <v>-1947.3895833333336</v>
      </c>
      <c r="G25" s="2">
        <f t="shared" si="584"/>
        <v>-1947.3895833333336</v>
      </c>
      <c r="H25" s="2">
        <f t="shared" si="584"/>
        <v>-1685.3771666666669</v>
      </c>
      <c r="I25" s="2">
        <f t="shared" si="584"/>
        <v>-1203.8408333333334</v>
      </c>
      <c r="J25" s="2">
        <f t="shared" si="584"/>
        <v>-885.17708333333348</v>
      </c>
      <c r="K25" s="2">
        <f t="shared" si="584"/>
        <v>-1487.0975000000001</v>
      </c>
      <c r="L25" s="2">
        <f t="shared" si="584"/>
        <v>-2089.0179166666671</v>
      </c>
      <c r="M25" s="2">
        <f t="shared" si="584"/>
        <v>-2089.0179166666671</v>
      </c>
      <c r="N25" s="2">
        <f t="shared" si="584"/>
        <v>-2089.0179166666671</v>
      </c>
      <c r="O25" s="2">
        <f t="shared" si="584"/>
        <v>-1685.3771666666669</v>
      </c>
      <c r="P25" s="2">
        <f t="shared" si="584"/>
        <v>-1203.8408333333334</v>
      </c>
      <c r="Q25" s="2">
        <f t="shared" si="584"/>
        <v>-885.17708333333348</v>
      </c>
      <c r="R25" s="2">
        <f t="shared" si="584"/>
        <v>-1487.0975000000001</v>
      </c>
      <c r="S25" s="2">
        <f t="shared" si="584"/>
        <v>-2089.0179166666671</v>
      </c>
      <c r="T25" s="2">
        <f t="shared" si="584"/>
        <v>-2089.0179166666671</v>
      </c>
      <c r="U25" s="2">
        <f t="shared" si="584"/>
        <v>-2089.0179166666671</v>
      </c>
      <c r="V25" s="2">
        <f t="shared" si="584"/>
        <v>-1685.3771666666669</v>
      </c>
      <c r="W25" s="2">
        <f t="shared" si="584"/>
        <v>-1203.8408333333334</v>
      </c>
      <c r="X25" s="2">
        <f t="shared" si="584"/>
        <v>-885.17708333333348</v>
      </c>
      <c r="Y25" s="2">
        <f t="shared" si="584"/>
        <v>-1487.0975000000001</v>
      </c>
      <c r="Z25" s="2">
        <f t="shared" si="584"/>
        <v>-2089.0179166666671</v>
      </c>
      <c r="AA25" s="2">
        <f t="shared" si="584"/>
        <v>-2089.0179166666671</v>
      </c>
      <c r="AB25" s="2">
        <f t="shared" si="584"/>
        <v>-2089.0179166666671</v>
      </c>
      <c r="AC25" s="2">
        <f t="shared" si="584"/>
        <v>-1685.3771666666669</v>
      </c>
      <c r="AD25" s="2">
        <f t="shared" si="584"/>
        <v>-1203.8408333333334</v>
      </c>
      <c r="AE25" s="2">
        <f t="shared" si="584"/>
        <v>-885.17708333333348</v>
      </c>
      <c r="AF25" s="2">
        <f t="shared" si="584"/>
        <v>-1487.0975000000001</v>
      </c>
      <c r="AG25" s="2">
        <f t="shared" si="584"/>
        <v>-2089.0179166666671</v>
      </c>
      <c r="AH25" s="2">
        <f t="shared" si="584"/>
        <v>-2089.0179166666671</v>
      </c>
      <c r="AI25" s="2">
        <f t="shared" si="584"/>
        <v>-2089.0179166666671</v>
      </c>
      <c r="AJ25" s="2">
        <f t="shared" si="584"/>
        <v>-1685.3771666666669</v>
      </c>
      <c r="AK25" s="2">
        <f t="shared" si="584"/>
        <v>-1203.8408333333334</v>
      </c>
      <c r="AL25" s="2">
        <f t="shared" si="584"/>
        <v>-885.17708333333348</v>
      </c>
      <c r="AM25" s="2">
        <f t="shared" si="584"/>
        <v>-1487.0975000000001</v>
      </c>
      <c r="AN25" s="2">
        <f t="shared" si="584"/>
        <v>-2089.0179166666671</v>
      </c>
      <c r="AO25" s="2">
        <f t="shared" si="584"/>
        <v>-2089.0179166666671</v>
      </c>
      <c r="AP25" s="2">
        <f t="shared" si="584"/>
        <v>-2089.0179166666671</v>
      </c>
      <c r="AQ25" s="2">
        <f t="shared" si="584"/>
        <v>-1685.3771666666669</v>
      </c>
      <c r="AR25" s="2">
        <f t="shared" si="584"/>
        <v>-1203.8408333333334</v>
      </c>
      <c r="AS25" s="2">
        <f t="shared" si="584"/>
        <v>-885.17708333333348</v>
      </c>
      <c r="AT25" s="2">
        <f t="shared" si="584"/>
        <v>-1487.0975000000001</v>
      </c>
      <c r="AU25" s="2">
        <f t="shared" si="584"/>
        <v>-2089.0179166666671</v>
      </c>
      <c r="AV25" s="2">
        <f t="shared" si="584"/>
        <v>-2089.0179166666671</v>
      </c>
      <c r="AW25" s="2">
        <f t="shared" si="584"/>
        <v>-2089.0179166666671</v>
      </c>
      <c r="AX25" s="2">
        <f t="shared" si="584"/>
        <v>-1685.3771666666669</v>
      </c>
      <c r="AY25" s="2">
        <f t="shared" si="584"/>
        <v>-1203.8408333333334</v>
      </c>
      <c r="AZ25" s="2">
        <f t="shared" si="584"/>
        <v>-885.17708333333348</v>
      </c>
      <c r="BA25" s="2">
        <f t="shared" si="584"/>
        <v>-1487.0975000000001</v>
      </c>
      <c r="BB25" s="2">
        <f t="shared" si="584"/>
        <v>-2089.0179166666671</v>
      </c>
      <c r="BC25" s="2">
        <f t="shared" si="584"/>
        <v>-2089.0179166666671</v>
      </c>
      <c r="BD25" s="2">
        <f t="shared" si="584"/>
        <v>-2089.0179166666671</v>
      </c>
      <c r="BE25" s="2">
        <f t="shared" si="584"/>
        <v>-1685.3771666666669</v>
      </c>
      <c r="BF25" s="2">
        <f t="shared" si="584"/>
        <v>-1203.8408333333334</v>
      </c>
      <c r="BG25" s="2">
        <f t="shared" si="584"/>
        <v>-885.17708333333348</v>
      </c>
      <c r="BH25" s="2">
        <f t="shared" si="584"/>
        <v>-1487.0975000000001</v>
      </c>
      <c r="BI25" s="2">
        <f t="shared" si="584"/>
        <v>-2089.0179166666671</v>
      </c>
      <c r="BJ25" s="2">
        <f t="shared" si="584"/>
        <v>-2089.0179166666671</v>
      </c>
      <c r="BK25" s="2">
        <f t="shared" si="584"/>
        <v>-2089.0179166666671</v>
      </c>
      <c r="BL25" s="2">
        <f t="shared" si="584"/>
        <v>-1685.3771666666669</v>
      </c>
      <c r="BM25" s="2">
        <f t="shared" si="584"/>
        <v>-1203.8408333333334</v>
      </c>
      <c r="BN25" s="2">
        <f t="shared" si="584"/>
        <v>-885.17708333333348</v>
      </c>
      <c r="BO25" s="2">
        <f t="shared" si="584"/>
        <v>-1487.0975000000001</v>
      </c>
      <c r="BP25" s="2">
        <f t="shared" ref="BP25:EA25" si="585">-SUM(BP23+BP24)*$D$6</f>
        <v>-2089.0179166666671</v>
      </c>
      <c r="BQ25" s="2">
        <f t="shared" si="585"/>
        <v>-2089.0179166666671</v>
      </c>
      <c r="BR25" s="2">
        <f t="shared" si="585"/>
        <v>-2089.0179166666671</v>
      </c>
      <c r="BS25" s="2">
        <f t="shared" si="585"/>
        <v>-1685.3771666666669</v>
      </c>
      <c r="BT25" s="2">
        <f t="shared" si="585"/>
        <v>-1203.8408333333334</v>
      </c>
      <c r="BU25" s="2">
        <f t="shared" si="585"/>
        <v>-885.17708333333348</v>
      </c>
      <c r="BV25" s="2">
        <f t="shared" si="585"/>
        <v>-1487.0975000000001</v>
      </c>
      <c r="BW25" s="2">
        <f t="shared" si="585"/>
        <v>-2089.0179166666671</v>
      </c>
      <c r="BX25" s="2">
        <f t="shared" si="585"/>
        <v>-2089.0179166666671</v>
      </c>
      <c r="BY25" s="2">
        <f t="shared" si="585"/>
        <v>-2089.0179166666671</v>
      </c>
      <c r="BZ25" s="2">
        <f t="shared" si="585"/>
        <v>-1685.3771666666669</v>
      </c>
      <c r="CA25" s="2">
        <f t="shared" si="585"/>
        <v>-1203.8408333333334</v>
      </c>
      <c r="CB25" s="2">
        <f t="shared" si="585"/>
        <v>-885.17708333333348</v>
      </c>
      <c r="CC25" s="2">
        <f t="shared" si="585"/>
        <v>-1487.0975000000001</v>
      </c>
      <c r="CD25" s="2">
        <f t="shared" si="585"/>
        <v>-2089.0179166666671</v>
      </c>
      <c r="CE25" s="2">
        <f t="shared" si="585"/>
        <v>-2089.0179166666671</v>
      </c>
      <c r="CF25" s="2">
        <f t="shared" si="585"/>
        <v>-2089.0179166666671</v>
      </c>
      <c r="CG25" s="2">
        <f t="shared" si="585"/>
        <v>-1685.3771666666669</v>
      </c>
      <c r="CH25" s="2">
        <f t="shared" si="585"/>
        <v>-1203.8408333333334</v>
      </c>
      <c r="CI25" s="2">
        <f t="shared" si="585"/>
        <v>-885.17708333333348</v>
      </c>
      <c r="CJ25" s="2">
        <f t="shared" si="585"/>
        <v>-1487.0975000000001</v>
      </c>
      <c r="CK25" s="2">
        <f t="shared" si="585"/>
        <v>-2089.0179166666671</v>
      </c>
      <c r="CL25" s="2">
        <f t="shared" si="585"/>
        <v>-2089.0179166666671</v>
      </c>
      <c r="CM25" s="2">
        <f t="shared" si="585"/>
        <v>-2089.0179166666671</v>
      </c>
      <c r="CN25" s="2">
        <f t="shared" si="585"/>
        <v>-1685.3771666666669</v>
      </c>
      <c r="CO25" s="2">
        <f t="shared" si="585"/>
        <v>-1203.8408333333334</v>
      </c>
      <c r="CP25" s="2">
        <f t="shared" si="585"/>
        <v>-885.17708333333348</v>
      </c>
      <c r="CQ25" s="2">
        <f t="shared" si="585"/>
        <v>-1487.0975000000001</v>
      </c>
      <c r="CR25" s="2">
        <f t="shared" si="585"/>
        <v>-2089.0179166666671</v>
      </c>
      <c r="CS25" s="2">
        <f t="shared" si="585"/>
        <v>-2089.0179166666671</v>
      </c>
      <c r="CT25" s="2">
        <f t="shared" si="585"/>
        <v>-2089.0179166666671</v>
      </c>
      <c r="CU25" s="2">
        <f t="shared" si="585"/>
        <v>-1685.3771666666669</v>
      </c>
      <c r="CV25" s="2">
        <f t="shared" si="585"/>
        <v>-1203.8408333333334</v>
      </c>
      <c r="CW25" s="2">
        <f t="shared" si="585"/>
        <v>-885.17708333333348</v>
      </c>
      <c r="CX25" s="2">
        <f t="shared" si="585"/>
        <v>-1487.0975000000001</v>
      </c>
      <c r="CY25" s="2">
        <f t="shared" si="585"/>
        <v>-2089.0179166666671</v>
      </c>
      <c r="CZ25" s="2">
        <f t="shared" si="585"/>
        <v>-2089.0179166666671</v>
      </c>
      <c r="DA25" s="2">
        <f t="shared" si="585"/>
        <v>-2089.0179166666671</v>
      </c>
      <c r="DB25" s="2">
        <f t="shared" si="585"/>
        <v>-1685.3771666666669</v>
      </c>
      <c r="DC25" s="2">
        <f t="shared" si="585"/>
        <v>-1203.8408333333334</v>
      </c>
      <c r="DD25" s="2">
        <f t="shared" si="585"/>
        <v>-885.17708333333348</v>
      </c>
      <c r="DE25" s="2">
        <f t="shared" si="585"/>
        <v>-1487.0975000000001</v>
      </c>
      <c r="DF25" s="2">
        <f t="shared" si="585"/>
        <v>-2089.0179166666671</v>
      </c>
      <c r="DG25" s="2">
        <f t="shared" si="585"/>
        <v>-2089.0179166666671</v>
      </c>
      <c r="DH25" s="2">
        <f t="shared" si="585"/>
        <v>-2089.0179166666671</v>
      </c>
      <c r="DI25" s="2">
        <f t="shared" si="585"/>
        <v>-1685.3771666666669</v>
      </c>
      <c r="DJ25" s="2">
        <f t="shared" si="585"/>
        <v>-1203.8408333333334</v>
      </c>
      <c r="DK25" s="2">
        <f t="shared" si="585"/>
        <v>-885.17708333333348</v>
      </c>
      <c r="DL25" s="2">
        <f t="shared" si="585"/>
        <v>-1487.0975000000001</v>
      </c>
      <c r="DM25" s="2">
        <f t="shared" si="585"/>
        <v>-2089.0179166666671</v>
      </c>
      <c r="DN25" s="2">
        <f t="shared" si="585"/>
        <v>-2089.0179166666671</v>
      </c>
      <c r="DO25" s="2">
        <f t="shared" si="585"/>
        <v>-2089.0179166666671</v>
      </c>
      <c r="DP25" s="2">
        <f t="shared" si="585"/>
        <v>-1685.3771666666669</v>
      </c>
      <c r="DQ25" s="2">
        <f t="shared" si="585"/>
        <v>-1203.8408333333334</v>
      </c>
      <c r="DR25" s="2">
        <f t="shared" si="585"/>
        <v>-885.17708333333348</v>
      </c>
      <c r="DS25" s="2">
        <f t="shared" si="585"/>
        <v>-1487.0975000000001</v>
      </c>
      <c r="DT25" s="2">
        <f t="shared" si="585"/>
        <v>-2089.0179166666671</v>
      </c>
      <c r="DU25" s="2">
        <f t="shared" si="585"/>
        <v>-2089.0179166666671</v>
      </c>
      <c r="DV25" s="2">
        <f t="shared" si="585"/>
        <v>-2089.0179166666671</v>
      </c>
      <c r="DW25" s="2">
        <f t="shared" si="585"/>
        <v>-1685.3771666666669</v>
      </c>
      <c r="DX25" s="2">
        <f t="shared" si="585"/>
        <v>-1203.8408333333334</v>
      </c>
      <c r="DY25" s="2">
        <f t="shared" si="585"/>
        <v>-885.17708333333348</v>
      </c>
      <c r="DZ25" s="2">
        <f t="shared" si="585"/>
        <v>-1487.0975000000001</v>
      </c>
      <c r="EA25" s="2">
        <f t="shared" si="585"/>
        <v>-2089.0179166666671</v>
      </c>
      <c r="EB25" s="2">
        <f t="shared" ref="EB25:GM25" si="586">-SUM(EB23+EB24)*$D$6</f>
        <v>-2089.0179166666671</v>
      </c>
      <c r="EC25" s="2">
        <f t="shared" si="586"/>
        <v>-2089.0179166666671</v>
      </c>
      <c r="ED25" s="2">
        <f t="shared" si="586"/>
        <v>-1685.3771666666669</v>
      </c>
      <c r="EE25" s="2">
        <f t="shared" si="586"/>
        <v>-1203.8408333333334</v>
      </c>
      <c r="EF25" s="2">
        <f t="shared" si="586"/>
        <v>-885.17708333333348</v>
      </c>
      <c r="EG25" s="2">
        <f t="shared" si="586"/>
        <v>-1487.0975000000001</v>
      </c>
      <c r="EH25" s="2">
        <f t="shared" si="586"/>
        <v>-2089.0179166666671</v>
      </c>
      <c r="EI25" s="2">
        <f t="shared" si="586"/>
        <v>-2089.0179166666671</v>
      </c>
      <c r="EJ25" s="2">
        <f t="shared" si="586"/>
        <v>-2089.0179166666671</v>
      </c>
      <c r="EK25" s="2">
        <f t="shared" si="586"/>
        <v>-1685.3771666666669</v>
      </c>
      <c r="EL25" s="2">
        <f t="shared" si="586"/>
        <v>-1203.8408333333334</v>
      </c>
      <c r="EM25" s="2">
        <f t="shared" si="586"/>
        <v>-885.17708333333348</v>
      </c>
      <c r="EN25" s="2">
        <f t="shared" si="586"/>
        <v>-1487.0975000000001</v>
      </c>
      <c r="EO25" s="2">
        <f t="shared" si="586"/>
        <v>-2089.0179166666671</v>
      </c>
      <c r="EP25" s="2">
        <f t="shared" si="586"/>
        <v>-2089.0179166666671</v>
      </c>
      <c r="EQ25" s="2">
        <f t="shared" si="586"/>
        <v>-2089.0179166666671</v>
      </c>
      <c r="ER25" s="2">
        <f t="shared" si="586"/>
        <v>-1685.3771666666669</v>
      </c>
      <c r="ES25" s="2">
        <f t="shared" si="586"/>
        <v>-1203.8408333333334</v>
      </c>
      <c r="ET25" s="2">
        <f t="shared" si="586"/>
        <v>-885.17708333333348</v>
      </c>
      <c r="EU25" s="2">
        <f t="shared" si="586"/>
        <v>-1487.0975000000001</v>
      </c>
      <c r="EV25" s="2">
        <f t="shared" si="586"/>
        <v>-2089.0179166666671</v>
      </c>
      <c r="EW25" s="2">
        <f t="shared" si="586"/>
        <v>-2089.0179166666671</v>
      </c>
      <c r="EX25" s="2">
        <f t="shared" si="586"/>
        <v>-2089.0179166666671</v>
      </c>
      <c r="EY25" s="2">
        <f t="shared" si="586"/>
        <v>-1685.3771666666669</v>
      </c>
      <c r="EZ25" s="2">
        <f t="shared" si="586"/>
        <v>-1203.8408333333334</v>
      </c>
      <c r="FA25" s="2">
        <f t="shared" si="586"/>
        <v>-885.17708333333348</v>
      </c>
      <c r="FB25" s="2">
        <f t="shared" si="586"/>
        <v>-1487.0975000000001</v>
      </c>
      <c r="FC25" s="2">
        <f t="shared" si="586"/>
        <v>-2089.0179166666671</v>
      </c>
      <c r="FD25" s="2">
        <f t="shared" si="586"/>
        <v>-2089.0179166666671</v>
      </c>
      <c r="FE25" s="2">
        <f t="shared" si="586"/>
        <v>-2089.0179166666671</v>
      </c>
      <c r="FF25" s="2">
        <f t="shared" si="586"/>
        <v>-1685.3771666666669</v>
      </c>
      <c r="FG25" s="2">
        <f t="shared" si="586"/>
        <v>-1203.8408333333334</v>
      </c>
      <c r="FH25" s="2">
        <f t="shared" si="586"/>
        <v>-885.17708333333348</v>
      </c>
      <c r="FI25" s="2">
        <f t="shared" si="586"/>
        <v>-1487.0975000000001</v>
      </c>
      <c r="FJ25" s="2">
        <f t="shared" si="586"/>
        <v>-2089.0179166666671</v>
      </c>
      <c r="FK25" s="2">
        <f t="shared" si="586"/>
        <v>-2089.0179166666671</v>
      </c>
      <c r="FL25" s="2">
        <f t="shared" si="586"/>
        <v>-2089.0179166666671</v>
      </c>
      <c r="FM25" s="2">
        <f t="shared" si="586"/>
        <v>-1685.3771666666669</v>
      </c>
      <c r="FN25" s="2">
        <f t="shared" si="586"/>
        <v>-1203.8408333333334</v>
      </c>
      <c r="FO25" s="2">
        <f t="shared" si="586"/>
        <v>-885.17708333333348</v>
      </c>
      <c r="FP25" s="2">
        <f t="shared" si="586"/>
        <v>-1487.0975000000001</v>
      </c>
      <c r="FQ25" s="2">
        <f t="shared" si="586"/>
        <v>-2089.0179166666671</v>
      </c>
      <c r="FR25" s="2">
        <f t="shared" si="586"/>
        <v>-2089.0179166666671</v>
      </c>
      <c r="FS25" s="2">
        <f t="shared" si="586"/>
        <v>-2089.0179166666671</v>
      </c>
      <c r="FT25" s="2">
        <f t="shared" si="586"/>
        <v>-1685.3771666666669</v>
      </c>
      <c r="FU25" s="2">
        <f t="shared" si="586"/>
        <v>-1203.8408333333334</v>
      </c>
      <c r="FV25" s="2">
        <f t="shared" si="586"/>
        <v>-885.17708333333348</v>
      </c>
      <c r="FW25" s="2">
        <f t="shared" si="586"/>
        <v>-1487.0975000000001</v>
      </c>
      <c r="FX25" s="2">
        <f t="shared" si="586"/>
        <v>-2089.0179166666671</v>
      </c>
      <c r="FY25" s="2">
        <f t="shared" si="586"/>
        <v>-2089.0179166666671</v>
      </c>
      <c r="FZ25" s="2">
        <f t="shared" si="586"/>
        <v>-2089.0179166666671</v>
      </c>
      <c r="GA25" s="2">
        <f t="shared" si="586"/>
        <v>-1685.3771666666669</v>
      </c>
      <c r="GB25" s="2">
        <f t="shared" si="586"/>
        <v>-1203.8408333333334</v>
      </c>
      <c r="GC25" s="2">
        <f t="shared" si="586"/>
        <v>-885.17708333333348</v>
      </c>
      <c r="GD25" s="2">
        <f t="shared" si="586"/>
        <v>-1487.0975000000001</v>
      </c>
      <c r="GE25" s="2">
        <f t="shared" si="586"/>
        <v>-2089.0179166666671</v>
      </c>
      <c r="GF25" s="2">
        <f t="shared" si="586"/>
        <v>-2089.0179166666671</v>
      </c>
      <c r="GG25" s="2">
        <f t="shared" si="586"/>
        <v>-2089.0179166666671</v>
      </c>
      <c r="GH25" s="2">
        <f t="shared" si="586"/>
        <v>-1685.3771666666669</v>
      </c>
      <c r="GI25" s="2">
        <f t="shared" si="586"/>
        <v>-1203.8408333333334</v>
      </c>
      <c r="GJ25" s="2">
        <f t="shared" si="586"/>
        <v>-885.17708333333348</v>
      </c>
      <c r="GK25" s="2">
        <f t="shared" si="586"/>
        <v>-1487.0975000000001</v>
      </c>
      <c r="GL25" s="2">
        <f t="shared" si="586"/>
        <v>-2089.0179166666671</v>
      </c>
      <c r="GM25" s="2">
        <f t="shared" si="586"/>
        <v>-2089.0179166666671</v>
      </c>
      <c r="GN25" s="2">
        <f t="shared" ref="GN25:IY25" si="587">-SUM(GN23+GN24)*$D$6</f>
        <v>-2089.0179166666671</v>
      </c>
      <c r="GO25" s="2">
        <f t="shared" si="587"/>
        <v>-1685.3771666666669</v>
      </c>
      <c r="GP25" s="2">
        <f t="shared" si="587"/>
        <v>-1203.8408333333334</v>
      </c>
      <c r="GQ25" s="2">
        <f t="shared" si="587"/>
        <v>-885.17708333333348</v>
      </c>
      <c r="GR25" s="2">
        <f t="shared" si="587"/>
        <v>-1487.0975000000001</v>
      </c>
      <c r="GS25" s="2">
        <f t="shared" si="587"/>
        <v>-2089.0179166666671</v>
      </c>
      <c r="GT25" s="2">
        <f t="shared" si="587"/>
        <v>-2089.0179166666671</v>
      </c>
      <c r="GU25" s="2">
        <f t="shared" si="587"/>
        <v>-2089.0179166666671</v>
      </c>
      <c r="GV25" s="2">
        <f t="shared" si="587"/>
        <v>-1685.3771666666669</v>
      </c>
      <c r="GW25" s="2">
        <f t="shared" si="587"/>
        <v>-1203.8408333333334</v>
      </c>
      <c r="GX25" s="2">
        <f t="shared" si="587"/>
        <v>-885.17708333333348</v>
      </c>
      <c r="GY25" s="2">
        <f t="shared" si="587"/>
        <v>-1487.0975000000001</v>
      </c>
      <c r="GZ25" s="2">
        <f t="shared" si="587"/>
        <v>-2089.0179166666671</v>
      </c>
      <c r="HA25" s="2">
        <f t="shared" si="587"/>
        <v>-2089.0179166666671</v>
      </c>
      <c r="HB25" s="2">
        <f t="shared" si="587"/>
        <v>-2089.0179166666671</v>
      </c>
      <c r="HC25" s="2">
        <f t="shared" si="587"/>
        <v>-1685.3771666666669</v>
      </c>
      <c r="HD25" s="2">
        <f t="shared" si="587"/>
        <v>-1203.8408333333334</v>
      </c>
      <c r="HE25" s="2">
        <f t="shared" si="587"/>
        <v>-885.17708333333348</v>
      </c>
      <c r="HF25" s="2">
        <f t="shared" si="587"/>
        <v>-1487.0975000000001</v>
      </c>
      <c r="HG25" s="2">
        <f t="shared" si="587"/>
        <v>-2089.0179166666671</v>
      </c>
      <c r="HH25" s="2">
        <f t="shared" si="587"/>
        <v>-2089.0179166666671</v>
      </c>
      <c r="HI25" s="2">
        <f t="shared" si="587"/>
        <v>-2089.0179166666671</v>
      </c>
      <c r="HJ25" s="2">
        <f t="shared" si="587"/>
        <v>-1685.3771666666669</v>
      </c>
      <c r="HK25" s="2">
        <f t="shared" si="587"/>
        <v>-1203.8408333333334</v>
      </c>
      <c r="HL25" s="2">
        <f t="shared" si="587"/>
        <v>-885.17708333333348</v>
      </c>
      <c r="HM25" s="2">
        <f t="shared" si="587"/>
        <v>-1487.0975000000001</v>
      </c>
      <c r="HN25" s="2">
        <f t="shared" si="587"/>
        <v>-2089.0179166666671</v>
      </c>
      <c r="HO25" s="2">
        <f t="shared" si="587"/>
        <v>-2089.0179166666671</v>
      </c>
      <c r="HP25" s="2">
        <f t="shared" si="587"/>
        <v>-2089.0179166666671</v>
      </c>
      <c r="HQ25" s="2">
        <f t="shared" si="587"/>
        <v>-1685.3771666666669</v>
      </c>
      <c r="HR25" s="2">
        <f t="shared" si="587"/>
        <v>-1203.8408333333334</v>
      </c>
      <c r="HS25" s="2">
        <f t="shared" si="587"/>
        <v>-885.17708333333348</v>
      </c>
      <c r="HT25" s="2">
        <f t="shared" si="587"/>
        <v>-1487.0975000000001</v>
      </c>
      <c r="HU25" s="2">
        <f t="shared" si="587"/>
        <v>-2089.0179166666671</v>
      </c>
      <c r="HV25" s="2">
        <f t="shared" si="587"/>
        <v>-2089.0179166666671</v>
      </c>
      <c r="HW25" s="2">
        <f t="shared" si="587"/>
        <v>-2089.0179166666671</v>
      </c>
      <c r="HX25" s="2">
        <f t="shared" si="587"/>
        <v>-1685.3771666666669</v>
      </c>
      <c r="HY25" s="2">
        <f t="shared" si="587"/>
        <v>-1203.8408333333334</v>
      </c>
      <c r="HZ25" s="2">
        <f t="shared" si="587"/>
        <v>-885.17708333333348</v>
      </c>
      <c r="IA25" s="2">
        <f t="shared" si="587"/>
        <v>-1487.0975000000001</v>
      </c>
      <c r="IB25" s="2">
        <f t="shared" si="587"/>
        <v>-2089.0179166666671</v>
      </c>
      <c r="IC25" s="2">
        <f t="shared" si="587"/>
        <v>-2089.0179166666671</v>
      </c>
      <c r="ID25" s="2">
        <f t="shared" si="587"/>
        <v>-2089.0179166666671</v>
      </c>
      <c r="IE25" s="2">
        <f t="shared" si="587"/>
        <v>-1685.3771666666669</v>
      </c>
      <c r="IF25" s="2">
        <f t="shared" si="587"/>
        <v>-1203.8408333333334</v>
      </c>
      <c r="IG25" s="2">
        <f t="shared" si="587"/>
        <v>-885.17708333333348</v>
      </c>
      <c r="IH25" s="2">
        <f t="shared" si="587"/>
        <v>-1487.0975000000001</v>
      </c>
      <c r="II25" s="2">
        <f t="shared" si="587"/>
        <v>-2089.0179166666671</v>
      </c>
      <c r="IJ25" s="2">
        <f t="shared" si="587"/>
        <v>-2089.0179166666671</v>
      </c>
      <c r="IK25" s="2">
        <f t="shared" si="587"/>
        <v>-2089.0179166666671</v>
      </c>
      <c r="IL25" s="2">
        <f t="shared" si="587"/>
        <v>-1685.3771666666669</v>
      </c>
      <c r="IM25" s="2">
        <f t="shared" si="587"/>
        <v>-1203.8408333333334</v>
      </c>
      <c r="IN25" s="2">
        <f t="shared" si="587"/>
        <v>-885.17708333333348</v>
      </c>
      <c r="IO25" s="2">
        <f t="shared" si="587"/>
        <v>-1487.0975000000001</v>
      </c>
      <c r="IP25" s="2">
        <f t="shared" si="587"/>
        <v>-2089.0179166666671</v>
      </c>
      <c r="IQ25" s="2">
        <f t="shared" si="587"/>
        <v>-2089.0179166666671</v>
      </c>
      <c r="IR25" s="2">
        <f t="shared" si="587"/>
        <v>-2089.0179166666671</v>
      </c>
      <c r="IS25" s="2">
        <f t="shared" si="587"/>
        <v>-1685.3771666666669</v>
      </c>
      <c r="IT25" s="2">
        <f t="shared" si="587"/>
        <v>-1203.8408333333334</v>
      </c>
      <c r="IU25" s="2">
        <f t="shared" si="587"/>
        <v>-885.17708333333348</v>
      </c>
      <c r="IV25" s="2">
        <f t="shared" si="587"/>
        <v>-1487.0975000000001</v>
      </c>
      <c r="IW25" s="2">
        <f t="shared" si="587"/>
        <v>-2089.0179166666671</v>
      </c>
      <c r="IX25" s="2">
        <f t="shared" si="587"/>
        <v>-2089.0179166666671</v>
      </c>
      <c r="IY25" s="2">
        <f t="shared" si="587"/>
        <v>-2089.0179166666671</v>
      </c>
      <c r="IZ25" s="2">
        <f t="shared" ref="IZ25:LK25" si="588">-SUM(IZ23+IZ24)*$D$6</f>
        <v>-1685.3771666666669</v>
      </c>
      <c r="JA25" s="2">
        <f t="shared" si="588"/>
        <v>-1203.8408333333334</v>
      </c>
      <c r="JB25" s="2">
        <f t="shared" si="588"/>
        <v>-885.17708333333348</v>
      </c>
      <c r="JC25" s="2">
        <f t="shared" si="588"/>
        <v>-1487.0975000000001</v>
      </c>
      <c r="JD25" s="2">
        <f t="shared" si="588"/>
        <v>-2089.0179166666671</v>
      </c>
      <c r="JE25" s="2">
        <f t="shared" si="588"/>
        <v>-2089.0179166666671</v>
      </c>
      <c r="JF25" s="2">
        <f t="shared" si="588"/>
        <v>-2089.0179166666671</v>
      </c>
      <c r="JG25" s="2">
        <f t="shared" si="588"/>
        <v>-1685.3771666666669</v>
      </c>
      <c r="JH25" s="2">
        <f t="shared" si="588"/>
        <v>-1203.8408333333334</v>
      </c>
      <c r="JI25" s="2">
        <f t="shared" si="588"/>
        <v>-885.17708333333348</v>
      </c>
      <c r="JJ25" s="2">
        <f t="shared" si="588"/>
        <v>-1487.0975000000001</v>
      </c>
      <c r="JK25" s="2">
        <f t="shared" si="588"/>
        <v>-2089.0179166666671</v>
      </c>
      <c r="JL25" s="2">
        <f t="shared" si="588"/>
        <v>-2089.0179166666671</v>
      </c>
      <c r="JM25" s="2">
        <f t="shared" si="588"/>
        <v>-2089.0179166666671</v>
      </c>
      <c r="JN25" s="2">
        <f t="shared" si="588"/>
        <v>-1685.3771666666669</v>
      </c>
      <c r="JO25" s="2">
        <f t="shared" si="588"/>
        <v>-1203.8408333333334</v>
      </c>
      <c r="JP25" s="2">
        <f t="shared" si="588"/>
        <v>-885.17708333333348</v>
      </c>
      <c r="JQ25" s="2">
        <f t="shared" si="588"/>
        <v>-1487.0975000000001</v>
      </c>
      <c r="JR25" s="2">
        <f t="shared" si="588"/>
        <v>-2089.0179166666671</v>
      </c>
      <c r="JS25" s="2">
        <f t="shared" si="588"/>
        <v>-2089.0179166666671</v>
      </c>
      <c r="JT25" s="2">
        <f t="shared" si="588"/>
        <v>-2089.0179166666671</v>
      </c>
      <c r="JU25" s="2">
        <f t="shared" si="588"/>
        <v>-1685.3771666666669</v>
      </c>
      <c r="JV25" s="2">
        <f t="shared" si="588"/>
        <v>-1203.8408333333334</v>
      </c>
      <c r="JW25" s="2">
        <f t="shared" si="588"/>
        <v>-885.17708333333348</v>
      </c>
      <c r="JX25" s="2">
        <f t="shared" si="588"/>
        <v>-1487.0975000000001</v>
      </c>
      <c r="JY25" s="2">
        <f t="shared" si="588"/>
        <v>-2089.0179166666671</v>
      </c>
      <c r="JZ25" s="2">
        <f t="shared" si="588"/>
        <v>-2089.0179166666671</v>
      </c>
      <c r="KA25" s="2">
        <f t="shared" si="588"/>
        <v>-2089.0179166666671</v>
      </c>
      <c r="KB25" s="2">
        <f t="shared" si="588"/>
        <v>-1685.3771666666669</v>
      </c>
      <c r="KC25" s="2">
        <f t="shared" si="588"/>
        <v>-1203.8408333333334</v>
      </c>
      <c r="KD25" s="2">
        <f t="shared" si="588"/>
        <v>-885.17708333333348</v>
      </c>
      <c r="KE25" s="2">
        <f t="shared" si="588"/>
        <v>-1487.0975000000001</v>
      </c>
      <c r="KF25" s="2">
        <f t="shared" si="588"/>
        <v>-2089.0179166666671</v>
      </c>
      <c r="KG25" s="2">
        <f t="shared" si="588"/>
        <v>-2089.0179166666671</v>
      </c>
      <c r="KH25" s="2">
        <f t="shared" si="588"/>
        <v>-2089.0179166666671</v>
      </c>
      <c r="KI25" s="2">
        <f t="shared" si="588"/>
        <v>-1685.3771666666669</v>
      </c>
      <c r="KJ25" s="2">
        <f t="shared" si="588"/>
        <v>-1203.8408333333334</v>
      </c>
      <c r="KK25" s="2">
        <f t="shared" si="588"/>
        <v>-885.17708333333348</v>
      </c>
      <c r="KL25" s="2">
        <f t="shared" si="588"/>
        <v>-1487.0975000000001</v>
      </c>
      <c r="KM25" s="2">
        <f t="shared" si="588"/>
        <v>-2089.0179166666671</v>
      </c>
      <c r="KN25" s="2">
        <f t="shared" si="588"/>
        <v>-2089.0179166666671</v>
      </c>
      <c r="KO25" s="2">
        <f t="shared" si="588"/>
        <v>-2089.0179166666671</v>
      </c>
      <c r="KP25" s="2">
        <f t="shared" si="588"/>
        <v>-1685.3771666666669</v>
      </c>
      <c r="KQ25" s="2">
        <f t="shared" si="588"/>
        <v>-1203.8408333333334</v>
      </c>
      <c r="KR25" s="2">
        <f t="shared" si="588"/>
        <v>-885.17708333333348</v>
      </c>
      <c r="KS25" s="2">
        <f t="shared" si="588"/>
        <v>-1487.0975000000001</v>
      </c>
      <c r="KT25" s="2">
        <f t="shared" si="588"/>
        <v>-2089.0179166666671</v>
      </c>
      <c r="KU25" s="2">
        <f t="shared" si="588"/>
        <v>-2089.0179166666671</v>
      </c>
      <c r="KV25" s="2">
        <f t="shared" si="588"/>
        <v>-2089.0179166666671</v>
      </c>
      <c r="KW25" s="2">
        <f t="shared" si="588"/>
        <v>-1685.3771666666669</v>
      </c>
      <c r="KX25" s="2">
        <f t="shared" si="588"/>
        <v>-1203.8408333333334</v>
      </c>
      <c r="KY25" s="2">
        <f t="shared" si="588"/>
        <v>-885.17708333333348</v>
      </c>
      <c r="KZ25" s="2">
        <f t="shared" si="588"/>
        <v>-1487.0975000000001</v>
      </c>
      <c r="LA25" s="2">
        <f t="shared" si="588"/>
        <v>-2089.0179166666671</v>
      </c>
      <c r="LB25" s="2">
        <f t="shared" si="588"/>
        <v>-2089.0179166666671</v>
      </c>
      <c r="LC25" s="2">
        <f t="shared" si="588"/>
        <v>-2089.0179166666671</v>
      </c>
      <c r="LD25" s="2">
        <f t="shared" si="588"/>
        <v>-1685.3771666666669</v>
      </c>
      <c r="LE25" s="2">
        <f t="shared" si="588"/>
        <v>-1203.8408333333334</v>
      </c>
      <c r="LF25" s="2">
        <f t="shared" si="588"/>
        <v>-885.17708333333348</v>
      </c>
      <c r="LG25" s="2">
        <f t="shared" si="588"/>
        <v>-1487.0975000000001</v>
      </c>
      <c r="LH25" s="2">
        <f t="shared" si="588"/>
        <v>-2089.0179166666671</v>
      </c>
      <c r="LI25" s="2">
        <f t="shared" si="588"/>
        <v>-2089.0179166666671</v>
      </c>
      <c r="LJ25" s="2">
        <f t="shared" si="588"/>
        <v>-2089.0179166666671</v>
      </c>
      <c r="LK25" s="2">
        <f t="shared" si="588"/>
        <v>-1685.3771666666669</v>
      </c>
      <c r="LL25" s="2">
        <f t="shared" ref="LL25:NW25" si="589">-SUM(LL23+LL24)*$D$6</f>
        <v>-1203.8408333333334</v>
      </c>
      <c r="LM25" s="2">
        <f t="shared" si="589"/>
        <v>-885.17708333333348</v>
      </c>
      <c r="LN25" s="2">
        <f t="shared" si="589"/>
        <v>-1487.0975000000001</v>
      </c>
      <c r="LO25" s="2">
        <f t="shared" si="589"/>
        <v>-2089.0179166666671</v>
      </c>
      <c r="LP25" s="2">
        <f t="shared" si="589"/>
        <v>-2089.0179166666671</v>
      </c>
      <c r="LQ25" s="2">
        <f t="shared" si="589"/>
        <v>-2089.0179166666671</v>
      </c>
      <c r="LR25" s="2">
        <f t="shared" si="589"/>
        <v>-1685.3771666666669</v>
      </c>
      <c r="LS25" s="2">
        <f t="shared" si="589"/>
        <v>-1203.8408333333334</v>
      </c>
      <c r="LT25" s="2">
        <f t="shared" si="589"/>
        <v>-885.17708333333348</v>
      </c>
      <c r="LU25" s="2">
        <f t="shared" si="589"/>
        <v>-1487.0975000000001</v>
      </c>
      <c r="LV25" s="2">
        <f t="shared" si="589"/>
        <v>-2089.0179166666671</v>
      </c>
      <c r="LW25" s="2">
        <f t="shared" si="589"/>
        <v>-2089.0179166666671</v>
      </c>
      <c r="LX25" s="2">
        <f t="shared" si="589"/>
        <v>-2089.0179166666671</v>
      </c>
      <c r="LY25" s="2">
        <f t="shared" si="589"/>
        <v>-1685.3771666666669</v>
      </c>
      <c r="LZ25" s="2">
        <f t="shared" si="589"/>
        <v>-1203.8408333333334</v>
      </c>
      <c r="MA25" s="2">
        <f t="shared" si="589"/>
        <v>-885.17708333333348</v>
      </c>
      <c r="MB25" s="2">
        <f t="shared" si="589"/>
        <v>-1487.0975000000001</v>
      </c>
      <c r="MC25" s="2">
        <f t="shared" si="589"/>
        <v>-2089.0179166666671</v>
      </c>
      <c r="MD25" s="2">
        <f t="shared" si="589"/>
        <v>-2089.0179166666671</v>
      </c>
      <c r="ME25" s="2">
        <f t="shared" si="589"/>
        <v>-2089.0179166666671</v>
      </c>
      <c r="MF25" s="2">
        <f t="shared" si="589"/>
        <v>-1685.3771666666669</v>
      </c>
      <c r="MG25" s="2">
        <f t="shared" si="589"/>
        <v>-1203.8408333333334</v>
      </c>
      <c r="MH25" s="2">
        <f t="shared" si="589"/>
        <v>-885.17708333333348</v>
      </c>
      <c r="MI25" s="2">
        <f t="shared" si="589"/>
        <v>-1487.0975000000001</v>
      </c>
      <c r="MJ25" s="2">
        <f t="shared" si="589"/>
        <v>-2089.0179166666671</v>
      </c>
      <c r="MK25" s="2">
        <f t="shared" si="589"/>
        <v>-2089.0179166666671</v>
      </c>
      <c r="ML25" s="2">
        <f t="shared" si="589"/>
        <v>-2089.0179166666671</v>
      </c>
      <c r="MM25" s="2">
        <f t="shared" si="589"/>
        <v>-1685.3771666666669</v>
      </c>
      <c r="MN25" s="2">
        <f t="shared" si="589"/>
        <v>-1203.8408333333334</v>
      </c>
      <c r="MO25" s="2">
        <f t="shared" si="589"/>
        <v>-885.17708333333348</v>
      </c>
      <c r="MP25" s="2">
        <f t="shared" si="589"/>
        <v>-1487.0975000000001</v>
      </c>
      <c r="MQ25" s="2">
        <f t="shared" si="589"/>
        <v>-2089.0179166666671</v>
      </c>
      <c r="MR25" s="2">
        <f t="shared" si="589"/>
        <v>-2089.0179166666671</v>
      </c>
      <c r="MS25" s="2">
        <f t="shared" si="589"/>
        <v>-2089.0179166666671</v>
      </c>
      <c r="MT25" s="2">
        <f t="shared" si="589"/>
        <v>-1685.3771666666669</v>
      </c>
      <c r="MU25" s="2">
        <f t="shared" si="589"/>
        <v>-1203.8408333333334</v>
      </c>
      <c r="MV25" s="2">
        <f t="shared" si="589"/>
        <v>-885.17708333333348</v>
      </c>
      <c r="MW25" s="2">
        <f t="shared" si="589"/>
        <v>-1487.0975000000001</v>
      </c>
      <c r="MX25" s="2">
        <f t="shared" si="589"/>
        <v>-2089.0179166666671</v>
      </c>
      <c r="MY25" s="2">
        <f t="shared" si="589"/>
        <v>-2089.0179166666671</v>
      </c>
      <c r="MZ25" s="2">
        <f t="shared" si="589"/>
        <v>-2089.0179166666671</v>
      </c>
      <c r="NA25" s="2">
        <f t="shared" si="589"/>
        <v>-1685.3771666666669</v>
      </c>
      <c r="NB25" s="2">
        <f t="shared" si="589"/>
        <v>-1203.8408333333334</v>
      </c>
      <c r="NC25" s="2">
        <f t="shared" si="589"/>
        <v>-885.17708333333348</v>
      </c>
      <c r="ND25" s="2">
        <f t="shared" si="589"/>
        <v>-1487.0975000000001</v>
      </c>
      <c r="NE25" s="2">
        <f t="shared" si="589"/>
        <v>-2089.0179166666671</v>
      </c>
      <c r="NF25" s="2">
        <f t="shared" si="589"/>
        <v>-2089.0179166666671</v>
      </c>
      <c r="NG25" s="2">
        <f t="shared" si="589"/>
        <v>-2089.0179166666671</v>
      </c>
      <c r="NH25" s="2">
        <f t="shared" si="589"/>
        <v>-1685.3771666666669</v>
      </c>
      <c r="NI25" s="2">
        <f t="shared" si="589"/>
        <v>-1203.8408333333334</v>
      </c>
      <c r="NJ25" s="2">
        <f t="shared" si="589"/>
        <v>-885.17708333333348</v>
      </c>
      <c r="NK25" s="2">
        <f t="shared" si="589"/>
        <v>-1487.0975000000001</v>
      </c>
      <c r="NL25" s="2">
        <f t="shared" si="589"/>
        <v>-2089.0179166666671</v>
      </c>
      <c r="NM25" s="2">
        <f t="shared" si="589"/>
        <v>-2089.0179166666671</v>
      </c>
      <c r="NN25" s="2">
        <f t="shared" si="589"/>
        <v>-2089.0179166666671</v>
      </c>
      <c r="NO25" s="2">
        <f t="shared" si="589"/>
        <v>-1685.3771666666669</v>
      </c>
      <c r="NP25" s="2">
        <f t="shared" si="589"/>
        <v>-1203.8408333333334</v>
      </c>
      <c r="NQ25" s="2">
        <f t="shared" si="589"/>
        <v>-885.17708333333348</v>
      </c>
      <c r="NR25" s="2">
        <f t="shared" si="589"/>
        <v>-1487.0975000000001</v>
      </c>
      <c r="NS25" s="2">
        <f t="shared" si="589"/>
        <v>-2089.0179166666671</v>
      </c>
      <c r="NT25" s="2">
        <f t="shared" si="589"/>
        <v>-2089.0179166666671</v>
      </c>
      <c r="NU25" s="2">
        <f t="shared" si="589"/>
        <v>-2089.0179166666671</v>
      </c>
      <c r="NV25" s="2">
        <f t="shared" si="589"/>
        <v>-1685.3771666666669</v>
      </c>
      <c r="NW25" s="2">
        <f t="shared" si="589"/>
        <v>-1203.8408333333334</v>
      </c>
      <c r="NX25" s="2">
        <f t="shared" ref="NX25:QI25" si="590">-SUM(NX23+NX24)*$D$6</f>
        <v>-885.17708333333348</v>
      </c>
      <c r="NY25" s="2">
        <f t="shared" si="590"/>
        <v>-1487.0975000000001</v>
      </c>
      <c r="NZ25" s="2">
        <f t="shared" si="590"/>
        <v>-2089.0179166666671</v>
      </c>
      <c r="OA25" s="2">
        <f t="shared" si="590"/>
        <v>-2089.0179166666671</v>
      </c>
      <c r="OB25" s="2">
        <f t="shared" si="590"/>
        <v>-2089.0179166666671</v>
      </c>
      <c r="OC25" s="2">
        <f t="shared" si="590"/>
        <v>-1685.3771666666669</v>
      </c>
      <c r="OD25" s="2">
        <f t="shared" si="590"/>
        <v>-1203.8408333333334</v>
      </c>
      <c r="OE25" s="2">
        <f t="shared" si="590"/>
        <v>-885.17708333333348</v>
      </c>
      <c r="OF25" s="2">
        <f t="shared" si="590"/>
        <v>-1487.0975000000001</v>
      </c>
      <c r="OG25" s="2">
        <f t="shared" si="590"/>
        <v>-2089.0179166666671</v>
      </c>
      <c r="OH25" s="2">
        <f t="shared" si="590"/>
        <v>-2089.0179166666671</v>
      </c>
      <c r="OI25" s="2">
        <f t="shared" si="590"/>
        <v>-2089.0179166666671</v>
      </c>
      <c r="OJ25" s="2">
        <f t="shared" si="590"/>
        <v>-1685.3771666666669</v>
      </c>
      <c r="OK25" s="2">
        <f t="shared" si="590"/>
        <v>-1203.8408333333334</v>
      </c>
      <c r="OL25" s="2">
        <f t="shared" si="590"/>
        <v>-885.17708333333348</v>
      </c>
      <c r="OM25" s="2">
        <f t="shared" si="590"/>
        <v>-1487.0975000000001</v>
      </c>
      <c r="ON25" s="2">
        <f t="shared" si="590"/>
        <v>-2089.0179166666671</v>
      </c>
      <c r="OO25" s="2">
        <f t="shared" si="590"/>
        <v>-2089.0179166666671</v>
      </c>
      <c r="OP25" s="2">
        <f t="shared" si="590"/>
        <v>-2089.0179166666671</v>
      </c>
      <c r="OQ25" s="2">
        <f t="shared" si="590"/>
        <v>-1685.3771666666669</v>
      </c>
      <c r="OR25" s="2">
        <f t="shared" si="590"/>
        <v>-1203.8408333333334</v>
      </c>
      <c r="OS25" s="2">
        <f t="shared" si="590"/>
        <v>-885.17708333333348</v>
      </c>
      <c r="OT25" s="2">
        <f t="shared" si="590"/>
        <v>-1487.0975000000001</v>
      </c>
      <c r="OU25" s="2">
        <f t="shared" si="590"/>
        <v>-2089.0179166666671</v>
      </c>
      <c r="OV25" s="2">
        <f t="shared" si="590"/>
        <v>-2089.0179166666671</v>
      </c>
      <c r="OW25" s="2">
        <f t="shared" si="590"/>
        <v>-2089.0179166666671</v>
      </c>
      <c r="OX25" s="2">
        <f t="shared" si="590"/>
        <v>-1685.3771666666669</v>
      </c>
      <c r="OY25" s="2">
        <f t="shared" si="590"/>
        <v>-1203.8408333333334</v>
      </c>
      <c r="OZ25" s="2">
        <f t="shared" si="590"/>
        <v>-885.17708333333348</v>
      </c>
      <c r="PA25" s="2">
        <f t="shared" si="590"/>
        <v>-1487.0975000000001</v>
      </c>
      <c r="PB25" s="2">
        <f t="shared" si="590"/>
        <v>-2089.0179166666671</v>
      </c>
      <c r="PC25" s="2">
        <f t="shared" si="590"/>
        <v>-2089.0179166666671</v>
      </c>
      <c r="PD25" s="2">
        <f t="shared" si="590"/>
        <v>-2089.0179166666671</v>
      </c>
      <c r="PE25" s="2">
        <f t="shared" si="590"/>
        <v>-1685.3771666666669</v>
      </c>
      <c r="PF25" s="2">
        <f t="shared" si="590"/>
        <v>-1203.8408333333334</v>
      </c>
      <c r="PG25" s="2">
        <f t="shared" si="590"/>
        <v>-885.17708333333348</v>
      </c>
      <c r="PH25" s="2">
        <f t="shared" si="590"/>
        <v>-1487.0975000000001</v>
      </c>
      <c r="PI25" s="2">
        <f t="shared" si="590"/>
        <v>-2089.0179166666671</v>
      </c>
      <c r="PJ25" s="2">
        <f t="shared" si="590"/>
        <v>-2089.0179166666671</v>
      </c>
      <c r="PK25" s="2">
        <f t="shared" si="590"/>
        <v>-2089.0179166666671</v>
      </c>
      <c r="PL25" s="2">
        <f t="shared" si="590"/>
        <v>-1685.3771666666669</v>
      </c>
      <c r="PM25" s="2">
        <f t="shared" si="590"/>
        <v>-1203.8408333333334</v>
      </c>
      <c r="PN25" s="2">
        <f t="shared" si="590"/>
        <v>-885.17708333333348</v>
      </c>
      <c r="PO25" s="2">
        <f t="shared" si="590"/>
        <v>-1487.0975000000001</v>
      </c>
      <c r="PP25" s="2">
        <f t="shared" si="590"/>
        <v>-2089.0179166666671</v>
      </c>
      <c r="PQ25" s="2">
        <f t="shared" si="590"/>
        <v>-2089.0179166666671</v>
      </c>
      <c r="PR25" s="2">
        <f t="shared" si="590"/>
        <v>-2089.0179166666671</v>
      </c>
      <c r="PS25" s="2">
        <f t="shared" si="590"/>
        <v>-1685.3771666666669</v>
      </c>
      <c r="PT25" s="2">
        <f t="shared" si="590"/>
        <v>-1203.8408333333334</v>
      </c>
      <c r="PU25" s="2">
        <f t="shared" si="590"/>
        <v>-885.17708333333348</v>
      </c>
      <c r="PV25" s="2">
        <f t="shared" si="590"/>
        <v>-1487.0975000000001</v>
      </c>
      <c r="PW25" s="2">
        <f t="shared" si="590"/>
        <v>-2089.0179166666671</v>
      </c>
      <c r="PX25" s="2">
        <f t="shared" si="590"/>
        <v>-2089.0179166666671</v>
      </c>
      <c r="PY25" s="2">
        <f t="shared" si="590"/>
        <v>-2089.0179166666671</v>
      </c>
      <c r="PZ25" s="2">
        <f t="shared" si="590"/>
        <v>-1685.3771666666669</v>
      </c>
      <c r="QA25" s="2">
        <f t="shared" si="590"/>
        <v>-1203.8408333333334</v>
      </c>
      <c r="QB25" s="2">
        <f t="shared" si="590"/>
        <v>-885.17708333333348</v>
      </c>
      <c r="QC25" s="2">
        <f t="shared" si="590"/>
        <v>-1487.0975000000001</v>
      </c>
      <c r="QD25" s="2">
        <f t="shared" si="590"/>
        <v>-2089.0179166666671</v>
      </c>
      <c r="QE25" s="2">
        <f t="shared" si="590"/>
        <v>-2089.0179166666671</v>
      </c>
      <c r="QF25" s="2">
        <f t="shared" si="590"/>
        <v>-2089.0179166666671</v>
      </c>
      <c r="QG25" s="2">
        <f t="shared" si="590"/>
        <v>-1685.3771666666669</v>
      </c>
      <c r="QH25" s="2">
        <f t="shared" si="590"/>
        <v>-1203.8408333333334</v>
      </c>
      <c r="QI25" s="2">
        <f t="shared" si="590"/>
        <v>-885.17708333333348</v>
      </c>
      <c r="QJ25" s="2">
        <f t="shared" ref="QJ25:SU25" si="591">-SUM(QJ23+QJ24)*$D$6</f>
        <v>-1487.0975000000001</v>
      </c>
      <c r="QK25" s="2">
        <f t="shared" si="591"/>
        <v>-2089.0179166666671</v>
      </c>
      <c r="QL25" s="2">
        <f t="shared" si="591"/>
        <v>-2089.0179166666671</v>
      </c>
      <c r="QM25" s="2">
        <f t="shared" si="591"/>
        <v>-2089.0179166666671</v>
      </c>
      <c r="QN25" s="2">
        <f t="shared" si="591"/>
        <v>-1685.3771666666669</v>
      </c>
      <c r="QO25" s="2">
        <f t="shared" si="591"/>
        <v>-1203.8408333333334</v>
      </c>
      <c r="QP25" s="2">
        <f t="shared" si="591"/>
        <v>-885.17708333333348</v>
      </c>
      <c r="QQ25" s="2">
        <f t="shared" si="591"/>
        <v>-1487.0975000000001</v>
      </c>
      <c r="QR25" s="2">
        <f t="shared" si="591"/>
        <v>-2089.0179166666671</v>
      </c>
      <c r="QS25" s="2">
        <f t="shared" si="591"/>
        <v>-2089.0179166666671</v>
      </c>
      <c r="QT25" s="2">
        <f t="shared" si="591"/>
        <v>-2089.0179166666671</v>
      </c>
      <c r="QU25" s="2">
        <f t="shared" si="591"/>
        <v>-1685.3771666666669</v>
      </c>
      <c r="QV25" s="2">
        <f t="shared" si="591"/>
        <v>-1203.8408333333334</v>
      </c>
      <c r="QW25" s="2">
        <f t="shared" si="591"/>
        <v>-885.17708333333348</v>
      </c>
      <c r="QX25" s="2">
        <f t="shared" si="591"/>
        <v>-1487.0975000000001</v>
      </c>
      <c r="QY25" s="2">
        <f t="shared" si="591"/>
        <v>-2089.0179166666671</v>
      </c>
      <c r="QZ25" s="2">
        <f t="shared" si="591"/>
        <v>-2089.0179166666671</v>
      </c>
      <c r="RA25" s="2">
        <f t="shared" si="591"/>
        <v>-2089.0179166666671</v>
      </c>
      <c r="RB25" s="2">
        <f t="shared" si="591"/>
        <v>-1685.3771666666669</v>
      </c>
      <c r="RC25" s="2">
        <f t="shared" si="591"/>
        <v>-1203.8408333333334</v>
      </c>
      <c r="RD25" s="2">
        <f t="shared" si="591"/>
        <v>-885.17708333333348</v>
      </c>
      <c r="RE25" s="2">
        <f t="shared" si="591"/>
        <v>-1487.0975000000001</v>
      </c>
      <c r="RF25" s="2">
        <f t="shared" si="591"/>
        <v>-2089.0179166666671</v>
      </c>
      <c r="RG25" s="2">
        <f t="shared" si="591"/>
        <v>-2089.0179166666671</v>
      </c>
      <c r="RH25" s="2">
        <f t="shared" si="591"/>
        <v>-2089.0179166666671</v>
      </c>
      <c r="RI25" s="2">
        <f t="shared" si="591"/>
        <v>-1685.3771666666669</v>
      </c>
      <c r="RJ25" s="2">
        <f t="shared" si="591"/>
        <v>-1203.8408333333334</v>
      </c>
      <c r="RK25" s="2">
        <f t="shared" si="591"/>
        <v>-885.17708333333348</v>
      </c>
      <c r="RL25" s="2">
        <f t="shared" si="591"/>
        <v>-1487.0975000000001</v>
      </c>
      <c r="RM25" s="2">
        <f t="shared" si="591"/>
        <v>-2089.0179166666671</v>
      </c>
      <c r="RN25" s="2">
        <f t="shared" si="591"/>
        <v>-2089.0179166666671</v>
      </c>
      <c r="RO25" s="2">
        <f t="shared" si="591"/>
        <v>-2089.0179166666671</v>
      </c>
      <c r="RP25" s="2">
        <f t="shared" si="591"/>
        <v>-1685.3771666666669</v>
      </c>
      <c r="RQ25" s="2">
        <f t="shared" si="591"/>
        <v>-1203.8408333333334</v>
      </c>
      <c r="RR25" s="2">
        <f t="shared" si="591"/>
        <v>-885.17708333333348</v>
      </c>
      <c r="RS25" s="2">
        <f t="shared" si="591"/>
        <v>-1487.0975000000001</v>
      </c>
      <c r="RT25" s="2">
        <f t="shared" si="591"/>
        <v>-2089.0179166666671</v>
      </c>
      <c r="RU25" s="2">
        <f t="shared" si="591"/>
        <v>-2089.0179166666671</v>
      </c>
      <c r="RV25" s="2">
        <f t="shared" si="591"/>
        <v>-2089.0179166666671</v>
      </c>
      <c r="RW25" s="2">
        <f t="shared" si="591"/>
        <v>-1685.3771666666669</v>
      </c>
      <c r="RX25" s="2">
        <f t="shared" si="591"/>
        <v>-1203.8408333333334</v>
      </c>
      <c r="RY25" s="2">
        <f t="shared" si="591"/>
        <v>-885.17708333333348</v>
      </c>
      <c r="RZ25" s="2">
        <f t="shared" si="591"/>
        <v>-1487.0975000000001</v>
      </c>
      <c r="SA25" s="2">
        <f t="shared" si="591"/>
        <v>-2089.0179166666671</v>
      </c>
      <c r="SB25" s="2">
        <f t="shared" si="591"/>
        <v>-2089.0179166666671</v>
      </c>
      <c r="SC25" s="2">
        <f t="shared" si="591"/>
        <v>-2089.0179166666671</v>
      </c>
      <c r="SD25" s="2">
        <f t="shared" si="591"/>
        <v>-1685.3771666666669</v>
      </c>
      <c r="SE25" s="2">
        <f t="shared" si="591"/>
        <v>-1203.8408333333334</v>
      </c>
      <c r="SF25" s="2">
        <f t="shared" si="591"/>
        <v>-885.17708333333348</v>
      </c>
      <c r="SG25" s="2">
        <f t="shared" si="591"/>
        <v>-1487.0975000000001</v>
      </c>
      <c r="SH25" s="2">
        <f t="shared" si="591"/>
        <v>-2089.0179166666671</v>
      </c>
      <c r="SI25" s="2">
        <f t="shared" si="591"/>
        <v>-2089.0179166666671</v>
      </c>
      <c r="SJ25" s="2">
        <f t="shared" si="591"/>
        <v>-2089.0179166666671</v>
      </c>
      <c r="SK25" s="2">
        <f t="shared" si="591"/>
        <v>-1685.3771666666669</v>
      </c>
      <c r="SL25" s="2">
        <f t="shared" si="591"/>
        <v>-1203.8408333333334</v>
      </c>
      <c r="SM25" s="2">
        <f t="shared" si="591"/>
        <v>-885.17708333333348</v>
      </c>
      <c r="SN25" s="2">
        <f t="shared" si="591"/>
        <v>-1487.0975000000001</v>
      </c>
      <c r="SO25" s="2">
        <f t="shared" si="591"/>
        <v>-2089.0179166666671</v>
      </c>
      <c r="SP25" s="2">
        <f t="shared" si="591"/>
        <v>-2089.0179166666671</v>
      </c>
      <c r="SQ25" s="2">
        <f t="shared" si="591"/>
        <v>-2089.0179166666671</v>
      </c>
      <c r="SR25" s="2">
        <f t="shared" si="591"/>
        <v>-1685.3771666666669</v>
      </c>
      <c r="SS25" s="2">
        <f t="shared" si="591"/>
        <v>-1203.8408333333334</v>
      </c>
      <c r="ST25" s="2">
        <f t="shared" si="591"/>
        <v>-885.17708333333348</v>
      </c>
      <c r="SU25" s="2">
        <f t="shared" si="591"/>
        <v>-1487.0975000000001</v>
      </c>
      <c r="SV25" s="2">
        <f t="shared" ref="SV25:VG25" si="592">-SUM(SV23+SV24)*$D$6</f>
        <v>-2089.0179166666671</v>
      </c>
      <c r="SW25" s="2">
        <f t="shared" si="592"/>
        <v>-2089.0179166666671</v>
      </c>
      <c r="SX25" s="2">
        <f t="shared" si="592"/>
        <v>-2089.0179166666671</v>
      </c>
      <c r="SY25" s="2">
        <f t="shared" si="592"/>
        <v>-1685.3771666666669</v>
      </c>
      <c r="SZ25" s="2">
        <f t="shared" si="592"/>
        <v>-1203.8408333333334</v>
      </c>
      <c r="TA25" s="2">
        <f t="shared" si="592"/>
        <v>-885.17708333333348</v>
      </c>
      <c r="TB25" s="2">
        <f t="shared" si="592"/>
        <v>-1487.0975000000001</v>
      </c>
      <c r="TC25" s="2">
        <f t="shared" si="592"/>
        <v>-2089.0179166666671</v>
      </c>
      <c r="TD25" s="2">
        <f t="shared" si="592"/>
        <v>-2089.0179166666671</v>
      </c>
      <c r="TE25" s="2">
        <f t="shared" si="592"/>
        <v>-2089.0179166666671</v>
      </c>
      <c r="TF25" s="2">
        <f t="shared" si="592"/>
        <v>-1685.3771666666669</v>
      </c>
      <c r="TG25" s="2">
        <f t="shared" si="592"/>
        <v>-1203.8408333333334</v>
      </c>
      <c r="TH25" s="2">
        <f t="shared" si="592"/>
        <v>-885.17708333333348</v>
      </c>
      <c r="TI25" s="2">
        <f t="shared" si="592"/>
        <v>-1487.0975000000001</v>
      </c>
      <c r="TJ25" s="2">
        <f t="shared" si="592"/>
        <v>-2089.0179166666671</v>
      </c>
      <c r="TK25" s="2">
        <f t="shared" si="592"/>
        <v>-2089.0179166666671</v>
      </c>
      <c r="TL25" s="2">
        <f t="shared" si="592"/>
        <v>-2089.0179166666671</v>
      </c>
      <c r="TM25" s="2">
        <f t="shared" si="592"/>
        <v>-1685.3771666666669</v>
      </c>
      <c r="TN25" s="2">
        <f t="shared" si="592"/>
        <v>-1203.8408333333334</v>
      </c>
      <c r="TO25" s="2">
        <f t="shared" si="592"/>
        <v>-885.17708333333348</v>
      </c>
      <c r="TP25" s="2">
        <f t="shared" si="592"/>
        <v>-1487.0975000000001</v>
      </c>
      <c r="TQ25" s="2">
        <f t="shared" si="592"/>
        <v>-2089.0179166666671</v>
      </c>
      <c r="TR25" s="2">
        <f t="shared" si="592"/>
        <v>-2089.0179166666671</v>
      </c>
      <c r="TS25" s="2">
        <f t="shared" si="592"/>
        <v>-2089.0179166666671</v>
      </c>
      <c r="TT25" s="2">
        <f t="shared" si="592"/>
        <v>-1685.3771666666669</v>
      </c>
      <c r="TU25" s="2">
        <f t="shared" si="592"/>
        <v>-1203.8408333333334</v>
      </c>
      <c r="TV25" s="2">
        <f t="shared" si="592"/>
        <v>-885.17708333333348</v>
      </c>
      <c r="TW25" s="2">
        <f t="shared" si="592"/>
        <v>-1487.0975000000001</v>
      </c>
      <c r="TX25" s="2">
        <f t="shared" si="592"/>
        <v>-2089.0179166666671</v>
      </c>
      <c r="TY25" s="2">
        <f t="shared" si="592"/>
        <v>-2089.0179166666671</v>
      </c>
      <c r="TZ25" s="2">
        <f t="shared" si="592"/>
        <v>-2089.0179166666671</v>
      </c>
      <c r="UA25" s="2">
        <f t="shared" si="592"/>
        <v>-1685.3771666666669</v>
      </c>
      <c r="UB25" s="2">
        <f t="shared" si="592"/>
        <v>-1203.8408333333334</v>
      </c>
      <c r="UC25" s="2">
        <f t="shared" si="592"/>
        <v>-885.17708333333348</v>
      </c>
      <c r="UD25" s="2">
        <f t="shared" si="592"/>
        <v>-1487.0975000000001</v>
      </c>
      <c r="UE25" s="2">
        <f t="shared" si="592"/>
        <v>-2089.0179166666671</v>
      </c>
      <c r="UF25" s="2">
        <f t="shared" si="592"/>
        <v>-2089.0179166666671</v>
      </c>
      <c r="UG25" s="2">
        <f t="shared" si="592"/>
        <v>-2089.0179166666671</v>
      </c>
      <c r="UH25" s="2">
        <f t="shared" si="592"/>
        <v>-1685.3771666666669</v>
      </c>
      <c r="UI25" s="2">
        <f t="shared" si="592"/>
        <v>-1203.8408333333334</v>
      </c>
      <c r="UJ25" s="2">
        <f t="shared" si="592"/>
        <v>-885.17708333333348</v>
      </c>
      <c r="UK25" s="2">
        <f t="shared" si="592"/>
        <v>-1487.0975000000001</v>
      </c>
      <c r="UL25" s="2">
        <f t="shared" si="592"/>
        <v>-2089.0179166666671</v>
      </c>
      <c r="UM25" s="2">
        <f t="shared" si="592"/>
        <v>-2089.0179166666671</v>
      </c>
      <c r="UN25" s="2">
        <f t="shared" si="592"/>
        <v>-2089.0179166666671</v>
      </c>
      <c r="UO25" s="2">
        <f t="shared" si="592"/>
        <v>-1685.3771666666669</v>
      </c>
      <c r="UP25" s="2">
        <f t="shared" si="592"/>
        <v>-1203.8408333333334</v>
      </c>
      <c r="UQ25" s="2">
        <f t="shared" si="592"/>
        <v>-885.17708333333348</v>
      </c>
      <c r="UR25" s="2">
        <f t="shared" si="592"/>
        <v>-1487.0975000000001</v>
      </c>
      <c r="US25" s="2">
        <f t="shared" si="592"/>
        <v>-2089.0179166666671</v>
      </c>
      <c r="UT25" s="2">
        <f t="shared" si="592"/>
        <v>-2089.0179166666671</v>
      </c>
      <c r="UU25" s="2">
        <f t="shared" si="592"/>
        <v>-2089.0179166666671</v>
      </c>
      <c r="UV25" s="2">
        <f t="shared" si="592"/>
        <v>-1685.3771666666669</v>
      </c>
      <c r="UW25" s="2">
        <f t="shared" si="592"/>
        <v>-1203.8408333333334</v>
      </c>
      <c r="UX25" s="2">
        <f t="shared" si="592"/>
        <v>-885.17708333333348</v>
      </c>
      <c r="UY25" s="2">
        <f t="shared" si="592"/>
        <v>-1487.0975000000001</v>
      </c>
      <c r="UZ25" s="2">
        <f t="shared" si="592"/>
        <v>-2089.0179166666671</v>
      </c>
      <c r="VA25" s="2">
        <f t="shared" si="592"/>
        <v>-2089.0179166666671</v>
      </c>
      <c r="VB25" s="2">
        <f t="shared" si="592"/>
        <v>-2089.0179166666671</v>
      </c>
      <c r="VC25" s="2">
        <f t="shared" si="592"/>
        <v>-1685.3771666666669</v>
      </c>
      <c r="VD25" s="2">
        <f t="shared" si="592"/>
        <v>-1203.8408333333334</v>
      </c>
      <c r="VE25" s="2">
        <f t="shared" si="592"/>
        <v>-885.17708333333348</v>
      </c>
      <c r="VF25" s="2">
        <f t="shared" si="592"/>
        <v>-1487.0975000000001</v>
      </c>
      <c r="VG25" s="2">
        <f t="shared" si="592"/>
        <v>-2089.0179166666671</v>
      </c>
      <c r="VH25" s="2">
        <f t="shared" ref="VH25:XQ25" si="593">-SUM(VH23+VH24)*$D$6</f>
        <v>-2089.0179166666671</v>
      </c>
      <c r="VI25" s="2">
        <f t="shared" si="593"/>
        <v>-2089.0179166666671</v>
      </c>
      <c r="VJ25" s="2">
        <f t="shared" si="593"/>
        <v>-1685.3771666666669</v>
      </c>
      <c r="VK25" s="2">
        <f t="shared" si="593"/>
        <v>-1203.8408333333334</v>
      </c>
      <c r="VL25" s="2">
        <f t="shared" si="593"/>
        <v>-885.17708333333348</v>
      </c>
      <c r="VM25" s="2">
        <f t="shared" si="593"/>
        <v>-1487.0975000000001</v>
      </c>
      <c r="VN25" s="2">
        <f t="shared" si="593"/>
        <v>-2089.0179166666671</v>
      </c>
      <c r="VO25" s="2">
        <f t="shared" si="593"/>
        <v>-2089.0179166666671</v>
      </c>
      <c r="VP25" s="2">
        <f t="shared" si="593"/>
        <v>-2089.0179166666671</v>
      </c>
      <c r="VQ25" s="2">
        <f t="shared" si="593"/>
        <v>-1685.3771666666669</v>
      </c>
      <c r="VR25" s="2">
        <f t="shared" si="593"/>
        <v>-1203.8408333333334</v>
      </c>
      <c r="VS25" s="2">
        <f t="shared" si="593"/>
        <v>-885.17708333333348</v>
      </c>
      <c r="VT25" s="2">
        <f t="shared" si="593"/>
        <v>-1487.0975000000001</v>
      </c>
      <c r="VU25" s="2">
        <f t="shared" si="593"/>
        <v>-2089.0179166666671</v>
      </c>
      <c r="VV25" s="2">
        <f t="shared" si="593"/>
        <v>-2089.0179166666671</v>
      </c>
      <c r="VW25" s="2">
        <f t="shared" si="593"/>
        <v>-2089.0179166666671</v>
      </c>
      <c r="VX25" s="2">
        <f t="shared" si="593"/>
        <v>-1685.3771666666669</v>
      </c>
      <c r="VY25" s="2">
        <f t="shared" si="593"/>
        <v>-1203.8408333333334</v>
      </c>
      <c r="VZ25" s="2">
        <f t="shared" si="593"/>
        <v>-885.17708333333348</v>
      </c>
      <c r="WA25" s="2">
        <f t="shared" si="593"/>
        <v>-1487.0975000000001</v>
      </c>
      <c r="WB25" s="2">
        <f t="shared" si="593"/>
        <v>-2089.0179166666671</v>
      </c>
      <c r="WC25" s="2">
        <f t="shared" si="593"/>
        <v>-2089.0179166666671</v>
      </c>
      <c r="WD25" s="2">
        <f t="shared" si="593"/>
        <v>-2089.0179166666671</v>
      </c>
      <c r="WE25" s="2">
        <f t="shared" si="593"/>
        <v>-1685.3771666666669</v>
      </c>
      <c r="WF25" s="2">
        <f t="shared" si="593"/>
        <v>-1203.8408333333334</v>
      </c>
      <c r="WG25" s="2">
        <f t="shared" si="593"/>
        <v>-885.17708333333348</v>
      </c>
      <c r="WH25" s="2">
        <f t="shared" si="593"/>
        <v>-1487.0975000000001</v>
      </c>
      <c r="WI25" s="2">
        <f t="shared" si="593"/>
        <v>-2089.0179166666671</v>
      </c>
      <c r="WJ25" s="2">
        <f t="shared" si="593"/>
        <v>-2089.0179166666671</v>
      </c>
      <c r="WK25" s="2">
        <f t="shared" si="593"/>
        <v>-2089.0179166666671</v>
      </c>
      <c r="WL25" s="2">
        <f t="shared" si="593"/>
        <v>-1685.3771666666669</v>
      </c>
      <c r="WM25" s="2">
        <f t="shared" si="593"/>
        <v>-1203.8408333333334</v>
      </c>
      <c r="WN25" s="2">
        <f t="shared" si="593"/>
        <v>-885.17708333333348</v>
      </c>
      <c r="WO25" s="2">
        <f t="shared" si="593"/>
        <v>-1487.0975000000001</v>
      </c>
      <c r="WP25" s="2">
        <f t="shared" si="593"/>
        <v>-2089.0179166666671</v>
      </c>
      <c r="WQ25" s="2">
        <f t="shared" si="593"/>
        <v>-2089.0179166666671</v>
      </c>
      <c r="WR25" s="2">
        <f t="shared" si="593"/>
        <v>-2089.0179166666671</v>
      </c>
      <c r="WS25" s="2">
        <f t="shared" si="593"/>
        <v>-1685.3771666666669</v>
      </c>
      <c r="WT25" s="2">
        <f t="shared" si="593"/>
        <v>-1203.8408333333334</v>
      </c>
      <c r="WU25" s="2">
        <f t="shared" si="593"/>
        <v>-885.17708333333348</v>
      </c>
      <c r="WV25" s="2">
        <f t="shared" si="593"/>
        <v>-1487.0975000000001</v>
      </c>
      <c r="WW25" s="2">
        <f t="shared" si="593"/>
        <v>-2089.0179166666671</v>
      </c>
      <c r="WX25" s="2">
        <f t="shared" si="593"/>
        <v>-2089.0179166666671</v>
      </c>
      <c r="WY25" s="2">
        <f t="shared" si="593"/>
        <v>-2089.0179166666671</v>
      </c>
      <c r="WZ25" s="2">
        <f t="shared" si="593"/>
        <v>-1685.3771666666669</v>
      </c>
      <c r="XA25" s="2">
        <f t="shared" si="593"/>
        <v>-1203.8408333333334</v>
      </c>
      <c r="XB25" s="2">
        <f t="shared" si="593"/>
        <v>-885.17708333333348</v>
      </c>
      <c r="XC25" s="2">
        <f t="shared" si="593"/>
        <v>-1487.0975000000001</v>
      </c>
      <c r="XD25" s="2">
        <f t="shared" si="593"/>
        <v>-2089.0179166666671</v>
      </c>
      <c r="XE25" s="2">
        <f t="shared" si="593"/>
        <v>-2089.0179166666671</v>
      </c>
      <c r="XF25" s="2">
        <f t="shared" si="593"/>
        <v>-2089.0179166666671</v>
      </c>
      <c r="XG25" s="2">
        <f t="shared" si="593"/>
        <v>-1685.3771666666669</v>
      </c>
      <c r="XH25" s="2">
        <f t="shared" si="593"/>
        <v>-1203.8408333333334</v>
      </c>
      <c r="XI25" s="2">
        <f t="shared" si="593"/>
        <v>-885.17708333333348</v>
      </c>
      <c r="XJ25" s="2">
        <f t="shared" si="593"/>
        <v>-1487.0975000000001</v>
      </c>
      <c r="XK25" s="2">
        <f t="shared" si="593"/>
        <v>-2089.0179166666671</v>
      </c>
      <c r="XL25" s="2">
        <f t="shared" si="593"/>
        <v>-2089.0179166666671</v>
      </c>
      <c r="XM25" s="2">
        <f t="shared" si="593"/>
        <v>-2089.0179166666671</v>
      </c>
      <c r="XN25" s="2">
        <f t="shared" si="593"/>
        <v>-1685.3771666666669</v>
      </c>
      <c r="XO25" s="2">
        <f t="shared" si="593"/>
        <v>-1203.8408333333334</v>
      </c>
      <c r="XP25" s="2">
        <f t="shared" si="593"/>
        <v>-885.17708333333348</v>
      </c>
      <c r="XQ25" s="2">
        <f t="shared" si="593"/>
        <v>-1487.0975000000001</v>
      </c>
    </row>
    <row r="26" spans="2:641" x14ac:dyDescent="0.3">
      <c r="B26" s="16" t="s">
        <v>46</v>
      </c>
      <c r="C26" s="2">
        <f>-C23*$C$12*$C$13</f>
        <v>-9.5625</v>
      </c>
      <c r="D26" s="2">
        <f t="shared" ref="D26:BO26" si="594">-D23*$C$12*$C$13</f>
        <v>-19.125</v>
      </c>
      <c r="E26" s="2">
        <f t="shared" si="594"/>
        <v>-28.6875</v>
      </c>
      <c r="F26" s="2">
        <f t="shared" si="594"/>
        <v>-28.6875</v>
      </c>
      <c r="G26" s="2">
        <f t="shared" si="594"/>
        <v>-28.6875</v>
      </c>
      <c r="H26" s="2">
        <f t="shared" si="594"/>
        <v>-26.775000000000002</v>
      </c>
      <c r="I26" s="2">
        <f t="shared" si="594"/>
        <v>-19.125</v>
      </c>
      <c r="J26" s="2">
        <f t="shared" si="594"/>
        <v>-9.5625</v>
      </c>
      <c r="K26" s="2">
        <f t="shared" si="594"/>
        <v>-19.125</v>
      </c>
      <c r="L26" s="2">
        <f t="shared" si="594"/>
        <v>-28.6875</v>
      </c>
      <c r="M26" s="2">
        <f t="shared" si="594"/>
        <v>-28.6875</v>
      </c>
      <c r="N26" s="2">
        <f t="shared" si="594"/>
        <v>-28.6875</v>
      </c>
      <c r="O26" s="2">
        <f t="shared" si="594"/>
        <v>-26.775000000000002</v>
      </c>
      <c r="P26" s="2">
        <f t="shared" si="594"/>
        <v>-19.125</v>
      </c>
      <c r="Q26" s="2">
        <f t="shared" si="594"/>
        <v>-9.5625</v>
      </c>
      <c r="R26" s="2">
        <f t="shared" si="594"/>
        <v>-19.125</v>
      </c>
      <c r="S26" s="2">
        <f t="shared" si="594"/>
        <v>-28.6875</v>
      </c>
      <c r="T26" s="2">
        <f t="shared" si="594"/>
        <v>-28.6875</v>
      </c>
      <c r="U26" s="2">
        <f t="shared" si="594"/>
        <v>-28.6875</v>
      </c>
      <c r="V26" s="2">
        <f t="shared" si="594"/>
        <v>-26.775000000000002</v>
      </c>
      <c r="W26" s="2">
        <f t="shared" si="594"/>
        <v>-19.125</v>
      </c>
      <c r="X26" s="2">
        <f t="shared" si="594"/>
        <v>-9.5625</v>
      </c>
      <c r="Y26" s="2">
        <f t="shared" si="594"/>
        <v>-19.125</v>
      </c>
      <c r="Z26" s="2">
        <f t="shared" si="594"/>
        <v>-28.6875</v>
      </c>
      <c r="AA26" s="2">
        <f t="shared" si="594"/>
        <v>-28.6875</v>
      </c>
      <c r="AB26" s="2">
        <f t="shared" si="594"/>
        <v>-28.6875</v>
      </c>
      <c r="AC26" s="2">
        <f t="shared" si="594"/>
        <v>-26.775000000000002</v>
      </c>
      <c r="AD26" s="2">
        <f t="shared" si="594"/>
        <v>-19.125</v>
      </c>
      <c r="AE26" s="2">
        <f t="shared" si="594"/>
        <v>-9.5625</v>
      </c>
      <c r="AF26" s="2">
        <f t="shared" si="594"/>
        <v>-19.125</v>
      </c>
      <c r="AG26" s="2">
        <f t="shared" si="594"/>
        <v>-28.6875</v>
      </c>
      <c r="AH26" s="2">
        <f t="shared" si="594"/>
        <v>-28.6875</v>
      </c>
      <c r="AI26" s="2">
        <f t="shared" si="594"/>
        <v>-28.6875</v>
      </c>
      <c r="AJ26" s="2">
        <f t="shared" si="594"/>
        <v>-26.775000000000002</v>
      </c>
      <c r="AK26" s="2">
        <f t="shared" si="594"/>
        <v>-19.125</v>
      </c>
      <c r="AL26" s="2">
        <f t="shared" si="594"/>
        <v>-9.5625</v>
      </c>
      <c r="AM26" s="2">
        <f t="shared" si="594"/>
        <v>-19.125</v>
      </c>
      <c r="AN26" s="2">
        <f t="shared" si="594"/>
        <v>-28.6875</v>
      </c>
      <c r="AO26" s="2">
        <f t="shared" si="594"/>
        <v>-28.6875</v>
      </c>
      <c r="AP26" s="2">
        <f t="shared" si="594"/>
        <v>-28.6875</v>
      </c>
      <c r="AQ26" s="2">
        <f t="shared" si="594"/>
        <v>-26.775000000000002</v>
      </c>
      <c r="AR26" s="2">
        <f t="shared" si="594"/>
        <v>-19.125</v>
      </c>
      <c r="AS26" s="2">
        <f t="shared" si="594"/>
        <v>-9.5625</v>
      </c>
      <c r="AT26" s="2">
        <f t="shared" si="594"/>
        <v>-19.125</v>
      </c>
      <c r="AU26" s="2">
        <f t="shared" si="594"/>
        <v>-28.6875</v>
      </c>
      <c r="AV26" s="2">
        <f t="shared" si="594"/>
        <v>-28.6875</v>
      </c>
      <c r="AW26" s="2">
        <f t="shared" si="594"/>
        <v>-28.6875</v>
      </c>
      <c r="AX26" s="2">
        <f t="shared" si="594"/>
        <v>-26.775000000000002</v>
      </c>
      <c r="AY26" s="2">
        <f t="shared" si="594"/>
        <v>-19.125</v>
      </c>
      <c r="AZ26" s="2">
        <f t="shared" si="594"/>
        <v>-9.5625</v>
      </c>
      <c r="BA26" s="2">
        <f t="shared" si="594"/>
        <v>-19.125</v>
      </c>
      <c r="BB26" s="2">
        <f t="shared" si="594"/>
        <v>-28.6875</v>
      </c>
      <c r="BC26" s="2">
        <f t="shared" si="594"/>
        <v>-28.6875</v>
      </c>
      <c r="BD26" s="2">
        <f t="shared" si="594"/>
        <v>-28.6875</v>
      </c>
      <c r="BE26" s="2">
        <f t="shared" si="594"/>
        <v>-26.775000000000002</v>
      </c>
      <c r="BF26" s="2">
        <f t="shared" si="594"/>
        <v>-19.125</v>
      </c>
      <c r="BG26" s="2">
        <f t="shared" si="594"/>
        <v>-9.5625</v>
      </c>
      <c r="BH26" s="2">
        <f t="shared" si="594"/>
        <v>-19.125</v>
      </c>
      <c r="BI26" s="2">
        <f t="shared" si="594"/>
        <v>-28.6875</v>
      </c>
      <c r="BJ26" s="2">
        <f t="shared" si="594"/>
        <v>-28.6875</v>
      </c>
      <c r="BK26" s="2">
        <f t="shared" si="594"/>
        <v>-28.6875</v>
      </c>
      <c r="BL26" s="2">
        <f t="shared" si="594"/>
        <v>-26.775000000000002</v>
      </c>
      <c r="BM26" s="2">
        <f t="shared" si="594"/>
        <v>-19.125</v>
      </c>
      <c r="BN26" s="2">
        <f t="shared" si="594"/>
        <v>-9.5625</v>
      </c>
      <c r="BO26" s="2">
        <f t="shared" si="594"/>
        <v>-19.125</v>
      </c>
      <c r="BP26" s="2">
        <f t="shared" ref="BP26:EA26" si="595">-BP23*$C$12*$C$13</f>
        <v>-28.6875</v>
      </c>
      <c r="BQ26" s="2">
        <f t="shared" si="595"/>
        <v>-28.6875</v>
      </c>
      <c r="BR26" s="2">
        <f t="shared" si="595"/>
        <v>-28.6875</v>
      </c>
      <c r="BS26" s="2">
        <f t="shared" si="595"/>
        <v>-26.775000000000002</v>
      </c>
      <c r="BT26" s="2">
        <f t="shared" si="595"/>
        <v>-19.125</v>
      </c>
      <c r="BU26" s="2">
        <f t="shared" si="595"/>
        <v>-9.5625</v>
      </c>
      <c r="BV26" s="2">
        <f t="shared" si="595"/>
        <v>-19.125</v>
      </c>
      <c r="BW26" s="2">
        <f t="shared" si="595"/>
        <v>-28.6875</v>
      </c>
      <c r="BX26" s="2">
        <f t="shared" si="595"/>
        <v>-28.6875</v>
      </c>
      <c r="BY26" s="2">
        <f t="shared" si="595"/>
        <v>-28.6875</v>
      </c>
      <c r="BZ26" s="2">
        <f t="shared" si="595"/>
        <v>-26.775000000000002</v>
      </c>
      <c r="CA26" s="2">
        <f t="shared" si="595"/>
        <v>-19.125</v>
      </c>
      <c r="CB26" s="2">
        <f t="shared" si="595"/>
        <v>-9.5625</v>
      </c>
      <c r="CC26" s="2">
        <f t="shared" si="595"/>
        <v>-19.125</v>
      </c>
      <c r="CD26" s="2">
        <f t="shared" si="595"/>
        <v>-28.6875</v>
      </c>
      <c r="CE26" s="2">
        <f t="shared" si="595"/>
        <v>-28.6875</v>
      </c>
      <c r="CF26" s="2">
        <f t="shared" si="595"/>
        <v>-28.6875</v>
      </c>
      <c r="CG26" s="2">
        <f t="shared" si="595"/>
        <v>-26.775000000000002</v>
      </c>
      <c r="CH26" s="2">
        <f t="shared" si="595"/>
        <v>-19.125</v>
      </c>
      <c r="CI26" s="2">
        <f t="shared" si="595"/>
        <v>-9.5625</v>
      </c>
      <c r="CJ26" s="2">
        <f t="shared" si="595"/>
        <v>-19.125</v>
      </c>
      <c r="CK26" s="2">
        <f t="shared" si="595"/>
        <v>-28.6875</v>
      </c>
      <c r="CL26" s="2">
        <f t="shared" si="595"/>
        <v>-28.6875</v>
      </c>
      <c r="CM26" s="2">
        <f t="shared" si="595"/>
        <v>-28.6875</v>
      </c>
      <c r="CN26" s="2">
        <f t="shared" si="595"/>
        <v>-26.775000000000002</v>
      </c>
      <c r="CO26" s="2">
        <f t="shared" si="595"/>
        <v>-19.125</v>
      </c>
      <c r="CP26" s="2">
        <f t="shared" si="595"/>
        <v>-9.5625</v>
      </c>
      <c r="CQ26" s="2">
        <f t="shared" si="595"/>
        <v>-19.125</v>
      </c>
      <c r="CR26" s="2">
        <f t="shared" si="595"/>
        <v>-28.6875</v>
      </c>
      <c r="CS26" s="2">
        <f t="shared" si="595"/>
        <v>-28.6875</v>
      </c>
      <c r="CT26" s="2">
        <f t="shared" si="595"/>
        <v>-28.6875</v>
      </c>
      <c r="CU26" s="2">
        <f t="shared" si="595"/>
        <v>-26.775000000000002</v>
      </c>
      <c r="CV26" s="2">
        <f t="shared" si="595"/>
        <v>-19.125</v>
      </c>
      <c r="CW26" s="2">
        <f t="shared" si="595"/>
        <v>-9.5625</v>
      </c>
      <c r="CX26" s="2">
        <f t="shared" si="595"/>
        <v>-19.125</v>
      </c>
      <c r="CY26" s="2">
        <f t="shared" si="595"/>
        <v>-28.6875</v>
      </c>
      <c r="CZ26" s="2">
        <f t="shared" si="595"/>
        <v>-28.6875</v>
      </c>
      <c r="DA26" s="2">
        <f t="shared" si="595"/>
        <v>-28.6875</v>
      </c>
      <c r="DB26" s="2">
        <f t="shared" si="595"/>
        <v>-26.775000000000002</v>
      </c>
      <c r="DC26" s="2">
        <f t="shared" si="595"/>
        <v>-19.125</v>
      </c>
      <c r="DD26" s="2">
        <f t="shared" si="595"/>
        <v>-9.5625</v>
      </c>
      <c r="DE26" s="2">
        <f t="shared" si="595"/>
        <v>-19.125</v>
      </c>
      <c r="DF26" s="2">
        <f t="shared" si="595"/>
        <v>-28.6875</v>
      </c>
      <c r="DG26" s="2">
        <f t="shared" si="595"/>
        <v>-28.6875</v>
      </c>
      <c r="DH26" s="2">
        <f t="shared" si="595"/>
        <v>-28.6875</v>
      </c>
      <c r="DI26" s="2">
        <f t="shared" si="595"/>
        <v>-26.775000000000002</v>
      </c>
      <c r="DJ26" s="2">
        <f t="shared" si="595"/>
        <v>-19.125</v>
      </c>
      <c r="DK26" s="2">
        <f t="shared" si="595"/>
        <v>-9.5625</v>
      </c>
      <c r="DL26" s="2">
        <f t="shared" si="595"/>
        <v>-19.125</v>
      </c>
      <c r="DM26" s="2">
        <f t="shared" si="595"/>
        <v>-28.6875</v>
      </c>
      <c r="DN26" s="2">
        <f t="shared" si="595"/>
        <v>-28.6875</v>
      </c>
      <c r="DO26" s="2">
        <f t="shared" si="595"/>
        <v>-28.6875</v>
      </c>
      <c r="DP26" s="2">
        <f t="shared" si="595"/>
        <v>-26.775000000000002</v>
      </c>
      <c r="DQ26" s="2">
        <f t="shared" si="595"/>
        <v>-19.125</v>
      </c>
      <c r="DR26" s="2">
        <f t="shared" si="595"/>
        <v>-9.5625</v>
      </c>
      <c r="DS26" s="2">
        <f t="shared" si="595"/>
        <v>-19.125</v>
      </c>
      <c r="DT26" s="2">
        <f t="shared" si="595"/>
        <v>-28.6875</v>
      </c>
      <c r="DU26" s="2">
        <f t="shared" si="595"/>
        <v>-28.6875</v>
      </c>
      <c r="DV26" s="2">
        <f t="shared" si="595"/>
        <v>-28.6875</v>
      </c>
      <c r="DW26" s="2">
        <f t="shared" si="595"/>
        <v>-26.775000000000002</v>
      </c>
      <c r="DX26" s="2">
        <f t="shared" si="595"/>
        <v>-19.125</v>
      </c>
      <c r="DY26" s="2">
        <f t="shared" si="595"/>
        <v>-9.5625</v>
      </c>
      <c r="DZ26" s="2">
        <f t="shared" si="595"/>
        <v>-19.125</v>
      </c>
      <c r="EA26" s="2">
        <f t="shared" si="595"/>
        <v>-28.6875</v>
      </c>
      <c r="EB26" s="2">
        <f t="shared" ref="EB26:GM26" si="596">-EB23*$C$12*$C$13</f>
        <v>-28.6875</v>
      </c>
      <c r="EC26" s="2">
        <f t="shared" si="596"/>
        <v>-28.6875</v>
      </c>
      <c r="ED26" s="2">
        <f t="shared" si="596"/>
        <v>-26.775000000000002</v>
      </c>
      <c r="EE26" s="2">
        <f t="shared" si="596"/>
        <v>-19.125</v>
      </c>
      <c r="EF26" s="2">
        <f t="shared" si="596"/>
        <v>-9.5625</v>
      </c>
      <c r="EG26" s="2">
        <f t="shared" si="596"/>
        <v>-19.125</v>
      </c>
      <c r="EH26" s="2">
        <f t="shared" si="596"/>
        <v>-28.6875</v>
      </c>
      <c r="EI26" s="2">
        <f t="shared" si="596"/>
        <v>-28.6875</v>
      </c>
      <c r="EJ26" s="2">
        <f t="shared" si="596"/>
        <v>-28.6875</v>
      </c>
      <c r="EK26" s="2">
        <f t="shared" si="596"/>
        <v>-26.775000000000002</v>
      </c>
      <c r="EL26" s="2">
        <f t="shared" si="596"/>
        <v>-19.125</v>
      </c>
      <c r="EM26" s="2">
        <f t="shared" si="596"/>
        <v>-9.5625</v>
      </c>
      <c r="EN26" s="2">
        <f t="shared" si="596"/>
        <v>-19.125</v>
      </c>
      <c r="EO26" s="2">
        <f t="shared" si="596"/>
        <v>-28.6875</v>
      </c>
      <c r="EP26" s="2">
        <f t="shared" si="596"/>
        <v>-28.6875</v>
      </c>
      <c r="EQ26" s="2">
        <f t="shared" si="596"/>
        <v>-28.6875</v>
      </c>
      <c r="ER26" s="2">
        <f t="shared" si="596"/>
        <v>-26.775000000000002</v>
      </c>
      <c r="ES26" s="2">
        <f t="shared" si="596"/>
        <v>-19.125</v>
      </c>
      <c r="ET26" s="2">
        <f t="shared" si="596"/>
        <v>-9.5625</v>
      </c>
      <c r="EU26" s="2">
        <f t="shared" si="596"/>
        <v>-19.125</v>
      </c>
      <c r="EV26" s="2">
        <f t="shared" si="596"/>
        <v>-28.6875</v>
      </c>
      <c r="EW26" s="2">
        <f t="shared" si="596"/>
        <v>-28.6875</v>
      </c>
      <c r="EX26" s="2">
        <f t="shared" si="596"/>
        <v>-28.6875</v>
      </c>
      <c r="EY26" s="2">
        <f t="shared" si="596"/>
        <v>-26.775000000000002</v>
      </c>
      <c r="EZ26" s="2">
        <f t="shared" si="596"/>
        <v>-19.125</v>
      </c>
      <c r="FA26" s="2">
        <f t="shared" si="596"/>
        <v>-9.5625</v>
      </c>
      <c r="FB26" s="2">
        <f t="shared" si="596"/>
        <v>-19.125</v>
      </c>
      <c r="FC26" s="2">
        <f t="shared" si="596"/>
        <v>-28.6875</v>
      </c>
      <c r="FD26" s="2">
        <f t="shared" si="596"/>
        <v>-28.6875</v>
      </c>
      <c r="FE26" s="2">
        <f t="shared" si="596"/>
        <v>-28.6875</v>
      </c>
      <c r="FF26" s="2">
        <f t="shared" si="596"/>
        <v>-26.775000000000002</v>
      </c>
      <c r="FG26" s="2">
        <f t="shared" si="596"/>
        <v>-19.125</v>
      </c>
      <c r="FH26" s="2">
        <f t="shared" si="596"/>
        <v>-9.5625</v>
      </c>
      <c r="FI26" s="2">
        <f t="shared" si="596"/>
        <v>-19.125</v>
      </c>
      <c r="FJ26" s="2">
        <f t="shared" si="596"/>
        <v>-28.6875</v>
      </c>
      <c r="FK26" s="2">
        <f t="shared" si="596"/>
        <v>-28.6875</v>
      </c>
      <c r="FL26" s="2">
        <f t="shared" si="596"/>
        <v>-28.6875</v>
      </c>
      <c r="FM26" s="2">
        <f t="shared" si="596"/>
        <v>-26.775000000000002</v>
      </c>
      <c r="FN26" s="2">
        <f t="shared" si="596"/>
        <v>-19.125</v>
      </c>
      <c r="FO26" s="2">
        <f t="shared" si="596"/>
        <v>-9.5625</v>
      </c>
      <c r="FP26" s="2">
        <f t="shared" si="596"/>
        <v>-19.125</v>
      </c>
      <c r="FQ26" s="2">
        <f t="shared" si="596"/>
        <v>-28.6875</v>
      </c>
      <c r="FR26" s="2">
        <f t="shared" si="596"/>
        <v>-28.6875</v>
      </c>
      <c r="FS26" s="2">
        <f t="shared" si="596"/>
        <v>-28.6875</v>
      </c>
      <c r="FT26" s="2">
        <f t="shared" si="596"/>
        <v>-26.775000000000002</v>
      </c>
      <c r="FU26" s="2">
        <f t="shared" si="596"/>
        <v>-19.125</v>
      </c>
      <c r="FV26" s="2">
        <f t="shared" si="596"/>
        <v>-9.5625</v>
      </c>
      <c r="FW26" s="2">
        <f t="shared" si="596"/>
        <v>-19.125</v>
      </c>
      <c r="FX26" s="2">
        <f t="shared" si="596"/>
        <v>-28.6875</v>
      </c>
      <c r="FY26" s="2">
        <f t="shared" si="596"/>
        <v>-28.6875</v>
      </c>
      <c r="FZ26" s="2">
        <f t="shared" si="596"/>
        <v>-28.6875</v>
      </c>
      <c r="GA26" s="2">
        <f t="shared" si="596"/>
        <v>-26.775000000000002</v>
      </c>
      <c r="GB26" s="2">
        <f t="shared" si="596"/>
        <v>-19.125</v>
      </c>
      <c r="GC26" s="2">
        <f t="shared" si="596"/>
        <v>-9.5625</v>
      </c>
      <c r="GD26" s="2">
        <f t="shared" si="596"/>
        <v>-19.125</v>
      </c>
      <c r="GE26" s="2">
        <f t="shared" si="596"/>
        <v>-28.6875</v>
      </c>
      <c r="GF26" s="2">
        <f t="shared" si="596"/>
        <v>-28.6875</v>
      </c>
      <c r="GG26" s="2">
        <f t="shared" si="596"/>
        <v>-28.6875</v>
      </c>
      <c r="GH26" s="2">
        <f t="shared" si="596"/>
        <v>-26.775000000000002</v>
      </c>
      <c r="GI26" s="2">
        <f t="shared" si="596"/>
        <v>-19.125</v>
      </c>
      <c r="GJ26" s="2">
        <f t="shared" si="596"/>
        <v>-9.5625</v>
      </c>
      <c r="GK26" s="2">
        <f t="shared" si="596"/>
        <v>-19.125</v>
      </c>
      <c r="GL26" s="2">
        <f t="shared" si="596"/>
        <v>-28.6875</v>
      </c>
      <c r="GM26" s="2">
        <f t="shared" si="596"/>
        <v>-28.6875</v>
      </c>
      <c r="GN26" s="2">
        <f t="shared" ref="GN26:IY26" si="597">-GN23*$C$12*$C$13</f>
        <v>-28.6875</v>
      </c>
      <c r="GO26" s="2">
        <f t="shared" si="597"/>
        <v>-26.775000000000002</v>
      </c>
      <c r="GP26" s="2">
        <f t="shared" si="597"/>
        <v>-19.125</v>
      </c>
      <c r="GQ26" s="2">
        <f t="shared" si="597"/>
        <v>-9.5625</v>
      </c>
      <c r="GR26" s="2">
        <f t="shared" si="597"/>
        <v>-19.125</v>
      </c>
      <c r="GS26" s="2">
        <f t="shared" si="597"/>
        <v>-28.6875</v>
      </c>
      <c r="GT26" s="2">
        <f t="shared" si="597"/>
        <v>-28.6875</v>
      </c>
      <c r="GU26" s="2">
        <f t="shared" si="597"/>
        <v>-28.6875</v>
      </c>
      <c r="GV26" s="2">
        <f t="shared" si="597"/>
        <v>-26.775000000000002</v>
      </c>
      <c r="GW26" s="2">
        <f t="shared" si="597"/>
        <v>-19.125</v>
      </c>
      <c r="GX26" s="2">
        <f t="shared" si="597"/>
        <v>-9.5625</v>
      </c>
      <c r="GY26" s="2">
        <f t="shared" si="597"/>
        <v>-19.125</v>
      </c>
      <c r="GZ26" s="2">
        <f t="shared" si="597"/>
        <v>-28.6875</v>
      </c>
      <c r="HA26" s="2">
        <f t="shared" si="597"/>
        <v>-28.6875</v>
      </c>
      <c r="HB26" s="2">
        <f t="shared" si="597"/>
        <v>-28.6875</v>
      </c>
      <c r="HC26" s="2">
        <f t="shared" si="597"/>
        <v>-26.775000000000002</v>
      </c>
      <c r="HD26" s="2">
        <f t="shared" si="597"/>
        <v>-19.125</v>
      </c>
      <c r="HE26" s="2">
        <f t="shared" si="597"/>
        <v>-9.5625</v>
      </c>
      <c r="HF26" s="2">
        <f t="shared" si="597"/>
        <v>-19.125</v>
      </c>
      <c r="HG26" s="2">
        <f t="shared" si="597"/>
        <v>-28.6875</v>
      </c>
      <c r="HH26" s="2">
        <f t="shared" si="597"/>
        <v>-28.6875</v>
      </c>
      <c r="HI26" s="2">
        <f t="shared" si="597"/>
        <v>-28.6875</v>
      </c>
      <c r="HJ26" s="2">
        <f t="shared" si="597"/>
        <v>-26.775000000000002</v>
      </c>
      <c r="HK26" s="2">
        <f t="shared" si="597"/>
        <v>-19.125</v>
      </c>
      <c r="HL26" s="2">
        <f t="shared" si="597"/>
        <v>-9.5625</v>
      </c>
      <c r="HM26" s="2">
        <f t="shared" si="597"/>
        <v>-19.125</v>
      </c>
      <c r="HN26" s="2">
        <f t="shared" si="597"/>
        <v>-28.6875</v>
      </c>
      <c r="HO26" s="2">
        <f t="shared" si="597"/>
        <v>-28.6875</v>
      </c>
      <c r="HP26" s="2">
        <f t="shared" si="597"/>
        <v>-28.6875</v>
      </c>
      <c r="HQ26" s="2">
        <f t="shared" si="597"/>
        <v>-26.775000000000002</v>
      </c>
      <c r="HR26" s="2">
        <f t="shared" si="597"/>
        <v>-19.125</v>
      </c>
      <c r="HS26" s="2">
        <f t="shared" si="597"/>
        <v>-9.5625</v>
      </c>
      <c r="HT26" s="2">
        <f t="shared" si="597"/>
        <v>-19.125</v>
      </c>
      <c r="HU26" s="2">
        <f t="shared" si="597"/>
        <v>-28.6875</v>
      </c>
      <c r="HV26" s="2">
        <f t="shared" si="597"/>
        <v>-28.6875</v>
      </c>
      <c r="HW26" s="2">
        <f t="shared" si="597"/>
        <v>-28.6875</v>
      </c>
      <c r="HX26" s="2">
        <f t="shared" si="597"/>
        <v>-26.775000000000002</v>
      </c>
      <c r="HY26" s="2">
        <f t="shared" si="597"/>
        <v>-19.125</v>
      </c>
      <c r="HZ26" s="2">
        <f t="shared" si="597"/>
        <v>-9.5625</v>
      </c>
      <c r="IA26" s="2">
        <f t="shared" si="597"/>
        <v>-19.125</v>
      </c>
      <c r="IB26" s="2">
        <f t="shared" si="597"/>
        <v>-28.6875</v>
      </c>
      <c r="IC26" s="2">
        <f t="shared" si="597"/>
        <v>-28.6875</v>
      </c>
      <c r="ID26" s="2">
        <f t="shared" si="597"/>
        <v>-28.6875</v>
      </c>
      <c r="IE26" s="2">
        <f t="shared" si="597"/>
        <v>-26.775000000000002</v>
      </c>
      <c r="IF26" s="2">
        <f t="shared" si="597"/>
        <v>-19.125</v>
      </c>
      <c r="IG26" s="2">
        <f t="shared" si="597"/>
        <v>-9.5625</v>
      </c>
      <c r="IH26" s="2">
        <f t="shared" si="597"/>
        <v>-19.125</v>
      </c>
      <c r="II26" s="2">
        <f t="shared" si="597"/>
        <v>-28.6875</v>
      </c>
      <c r="IJ26" s="2">
        <f t="shared" si="597"/>
        <v>-28.6875</v>
      </c>
      <c r="IK26" s="2">
        <f t="shared" si="597"/>
        <v>-28.6875</v>
      </c>
      <c r="IL26" s="2">
        <f t="shared" si="597"/>
        <v>-26.775000000000002</v>
      </c>
      <c r="IM26" s="2">
        <f t="shared" si="597"/>
        <v>-19.125</v>
      </c>
      <c r="IN26" s="2">
        <f t="shared" si="597"/>
        <v>-9.5625</v>
      </c>
      <c r="IO26" s="2">
        <f t="shared" si="597"/>
        <v>-19.125</v>
      </c>
      <c r="IP26" s="2">
        <f t="shared" si="597"/>
        <v>-28.6875</v>
      </c>
      <c r="IQ26" s="2">
        <f t="shared" si="597"/>
        <v>-28.6875</v>
      </c>
      <c r="IR26" s="2">
        <f t="shared" si="597"/>
        <v>-28.6875</v>
      </c>
      <c r="IS26" s="2">
        <f t="shared" si="597"/>
        <v>-26.775000000000002</v>
      </c>
      <c r="IT26" s="2">
        <f t="shared" si="597"/>
        <v>-19.125</v>
      </c>
      <c r="IU26" s="2">
        <f t="shared" si="597"/>
        <v>-9.5625</v>
      </c>
      <c r="IV26" s="2">
        <f t="shared" si="597"/>
        <v>-19.125</v>
      </c>
      <c r="IW26" s="2">
        <f t="shared" si="597"/>
        <v>-28.6875</v>
      </c>
      <c r="IX26" s="2">
        <f t="shared" si="597"/>
        <v>-28.6875</v>
      </c>
      <c r="IY26" s="2">
        <f t="shared" si="597"/>
        <v>-28.6875</v>
      </c>
      <c r="IZ26" s="2">
        <f t="shared" ref="IZ26:LK26" si="598">-IZ23*$C$12*$C$13</f>
        <v>-26.775000000000002</v>
      </c>
      <c r="JA26" s="2">
        <f t="shared" si="598"/>
        <v>-19.125</v>
      </c>
      <c r="JB26" s="2">
        <f t="shared" si="598"/>
        <v>-9.5625</v>
      </c>
      <c r="JC26" s="2">
        <f t="shared" si="598"/>
        <v>-19.125</v>
      </c>
      <c r="JD26" s="2">
        <f t="shared" si="598"/>
        <v>-28.6875</v>
      </c>
      <c r="JE26" s="2">
        <f t="shared" si="598"/>
        <v>-28.6875</v>
      </c>
      <c r="JF26" s="2">
        <f t="shared" si="598"/>
        <v>-28.6875</v>
      </c>
      <c r="JG26" s="2">
        <f t="shared" si="598"/>
        <v>-26.775000000000002</v>
      </c>
      <c r="JH26" s="2">
        <f t="shared" si="598"/>
        <v>-19.125</v>
      </c>
      <c r="JI26" s="2">
        <f t="shared" si="598"/>
        <v>-9.5625</v>
      </c>
      <c r="JJ26" s="2">
        <f t="shared" si="598"/>
        <v>-19.125</v>
      </c>
      <c r="JK26" s="2">
        <f t="shared" si="598"/>
        <v>-28.6875</v>
      </c>
      <c r="JL26" s="2">
        <f t="shared" si="598"/>
        <v>-28.6875</v>
      </c>
      <c r="JM26" s="2">
        <f t="shared" si="598"/>
        <v>-28.6875</v>
      </c>
      <c r="JN26" s="2">
        <f t="shared" si="598"/>
        <v>-26.775000000000002</v>
      </c>
      <c r="JO26" s="2">
        <f t="shared" si="598"/>
        <v>-19.125</v>
      </c>
      <c r="JP26" s="2">
        <f t="shared" si="598"/>
        <v>-9.5625</v>
      </c>
      <c r="JQ26" s="2">
        <f t="shared" si="598"/>
        <v>-19.125</v>
      </c>
      <c r="JR26" s="2">
        <f t="shared" si="598"/>
        <v>-28.6875</v>
      </c>
      <c r="JS26" s="2">
        <f t="shared" si="598"/>
        <v>-28.6875</v>
      </c>
      <c r="JT26" s="2">
        <f t="shared" si="598"/>
        <v>-28.6875</v>
      </c>
      <c r="JU26" s="2">
        <f t="shared" si="598"/>
        <v>-26.775000000000002</v>
      </c>
      <c r="JV26" s="2">
        <f t="shared" si="598"/>
        <v>-19.125</v>
      </c>
      <c r="JW26" s="2">
        <f t="shared" si="598"/>
        <v>-9.5625</v>
      </c>
      <c r="JX26" s="2">
        <f t="shared" si="598"/>
        <v>-19.125</v>
      </c>
      <c r="JY26" s="2">
        <f t="shared" si="598"/>
        <v>-28.6875</v>
      </c>
      <c r="JZ26" s="2">
        <f t="shared" si="598"/>
        <v>-28.6875</v>
      </c>
      <c r="KA26" s="2">
        <f t="shared" si="598"/>
        <v>-28.6875</v>
      </c>
      <c r="KB26" s="2">
        <f t="shared" si="598"/>
        <v>-26.775000000000002</v>
      </c>
      <c r="KC26" s="2">
        <f t="shared" si="598"/>
        <v>-19.125</v>
      </c>
      <c r="KD26" s="2">
        <f t="shared" si="598"/>
        <v>-9.5625</v>
      </c>
      <c r="KE26" s="2">
        <f t="shared" si="598"/>
        <v>-19.125</v>
      </c>
      <c r="KF26" s="2">
        <f t="shared" si="598"/>
        <v>-28.6875</v>
      </c>
      <c r="KG26" s="2">
        <f t="shared" si="598"/>
        <v>-28.6875</v>
      </c>
      <c r="KH26" s="2">
        <f t="shared" si="598"/>
        <v>-28.6875</v>
      </c>
      <c r="KI26" s="2">
        <f t="shared" si="598"/>
        <v>-26.775000000000002</v>
      </c>
      <c r="KJ26" s="2">
        <f t="shared" si="598"/>
        <v>-19.125</v>
      </c>
      <c r="KK26" s="2">
        <f t="shared" si="598"/>
        <v>-9.5625</v>
      </c>
      <c r="KL26" s="2">
        <f t="shared" si="598"/>
        <v>-19.125</v>
      </c>
      <c r="KM26" s="2">
        <f t="shared" si="598"/>
        <v>-28.6875</v>
      </c>
      <c r="KN26" s="2">
        <f t="shared" si="598"/>
        <v>-28.6875</v>
      </c>
      <c r="KO26" s="2">
        <f t="shared" si="598"/>
        <v>-28.6875</v>
      </c>
      <c r="KP26" s="2">
        <f t="shared" si="598"/>
        <v>-26.775000000000002</v>
      </c>
      <c r="KQ26" s="2">
        <f t="shared" si="598"/>
        <v>-19.125</v>
      </c>
      <c r="KR26" s="2">
        <f t="shared" si="598"/>
        <v>-9.5625</v>
      </c>
      <c r="KS26" s="2">
        <f t="shared" si="598"/>
        <v>-19.125</v>
      </c>
      <c r="KT26" s="2">
        <f t="shared" si="598"/>
        <v>-28.6875</v>
      </c>
      <c r="KU26" s="2">
        <f t="shared" si="598"/>
        <v>-28.6875</v>
      </c>
      <c r="KV26" s="2">
        <f t="shared" si="598"/>
        <v>-28.6875</v>
      </c>
      <c r="KW26" s="2">
        <f t="shared" si="598"/>
        <v>-26.775000000000002</v>
      </c>
      <c r="KX26" s="2">
        <f t="shared" si="598"/>
        <v>-19.125</v>
      </c>
      <c r="KY26" s="2">
        <f t="shared" si="598"/>
        <v>-9.5625</v>
      </c>
      <c r="KZ26" s="2">
        <f t="shared" si="598"/>
        <v>-19.125</v>
      </c>
      <c r="LA26" s="2">
        <f t="shared" si="598"/>
        <v>-28.6875</v>
      </c>
      <c r="LB26" s="2">
        <f t="shared" si="598"/>
        <v>-28.6875</v>
      </c>
      <c r="LC26" s="2">
        <f t="shared" si="598"/>
        <v>-28.6875</v>
      </c>
      <c r="LD26" s="2">
        <f t="shared" si="598"/>
        <v>-26.775000000000002</v>
      </c>
      <c r="LE26" s="2">
        <f t="shared" si="598"/>
        <v>-19.125</v>
      </c>
      <c r="LF26" s="2">
        <f t="shared" si="598"/>
        <v>-9.5625</v>
      </c>
      <c r="LG26" s="2">
        <f t="shared" si="598"/>
        <v>-19.125</v>
      </c>
      <c r="LH26" s="2">
        <f t="shared" si="598"/>
        <v>-28.6875</v>
      </c>
      <c r="LI26" s="2">
        <f t="shared" si="598"/>
        <v>-28.6875</v>
      </c>
      <c r="LJ26" s="2">
        <f t="shared" si="598"/>
        <v>-28.6875</v>
      </c>
      <c r="LK26" s="2">
        <f t="shared" si="598"/>
        <v>-26.775000000000002</v>
      </c>
      <c r="LL26" s="2">
        <f t="shared" ref="LL26:NW26" si="599">-LL23*$C$12*$C$13</f>
        <v>-19.125</v>
      </c>
      <c r="LM26" s="2">
        <f t="shared" si="599"/>
        <v>-9.5625</v>
      </c>
      <c r="LN26" s="2">
        <f t="shared" si="599"/>
        <v>-19.125</v>
      </c>
      <c r="LO26" s="2">
        <f t="shared" si="599"/>
        <v>-28.6875</v>
      </c>
      <c r="LP26" s="2">
        <f t="shared" si="599"/>
        <v>-28.6875</v>
      </c>
      <c r="LQ26" s="2">
        <f t="shared" si="599"/>
        <v>-28.6875</v>
      </c>
      <c r="LR26" s="2">
        <f t="shared" si="599"/>
        <v>-26.775000000000002</v>
      </c>
      <c r="LS26" s="2">
        <f t="shared" si="599"/>
        <v>-19.125</v>
      </c>
      <c r="LT26" s="2">
        <f t="shared" si="599"/>
        <v>-9.5625</v>
      </c>
      <c r="LU26" s="2">
        <f t="shared" si="599"/>
        <v>-19.125</v>
      </c>
      <c r="LV26" s="2">
        <f t="shared" si="599"/>
        <v>-28.6875</v>
      </c>
      <c r="LW26" s="2">
        <f t="shared" si="599"/>
        <v>-28.6875</v>
      </c>
      <c r="LX26" s="2">
        <f t="shared" si="599"/>
        <v>-28.6875</v>
      </c>
      <c r="LY26" s="2">
        <f t="shared" si="599"/>
        <v>-26.775000000000002</v>
      </c>
      <c r="LZ26" s="2">
        <f t="shared" si="599"/>
        <v>-19.125</v>
      </c>
      <c r="MA26" s="2">
        <f t="shared" si="599"/>
        <v>-9.5625</v>
      </c>
      <c r="MB26" s="2">
        <f t="shared" si="599"/>
        <v>-19.125</v>
      </c>
      <c r="MC26" s="2">
        <f t="shared" si="599"/>
        <v>-28.6875</v>
      </c>
      <c r="MD26" s="2">
        <f t="shared" si="599"/>
        <v>-28.6875</v>
      </c>
      <c r="ME26" s="2">
        <f t="shared" si="599"/>
        <v>-28.6875</v>
      </c>
      <c r="MF26" s="2">
        <f t="shared" si="599"/>
        <v>-26.775000000000002</v>
      </c>
      <c r="MG26" s="2">
        <f t="shared" si="599"/>
        <v>-19.125</v>
      </c>
      <c r="MH26" s="2">
        <f t="shared" si="599"/>
        <v>-9.5625</v>
      </c>
      <c r="MI26" s="2">
        <f t="shared" si="599"/>
        <v>-19.125</v>
      </c>
      <c r="MJ26" s="2">
        <f t="shared" si="599"/>
        <v>-28.6875</v>
      </c>
      <c r="MK26" s="2">
        <f t="shared" si="599"/>
        <v>-28.6875</v>
      </c>
      <c r="ML26" s="2">
        <f t="shared" si="599"/>
        <v>-28.6875</v>
      </c>
      <c r="MM26" s="2">
        <f t="shared" si="599"/>
        <v>-26.775000000000002</v>
      </c>
      <c r="MN26" s="2">
        <f t="shared" si="599"/>
        <v>-19.125</v>
      </c>
      <c r="MO26" s="2">
        <f t="shared" si="599"/>
        <v>-9.5625</v>
      </c>
      <c r="MP26" s="2">
        <f t="shared" si="599"/>
        <v>-19.125</v>
      </c>
      <c r="MQ26" s="2">
        <f t="shared" si="599"/>
        <v>-28.6875</v>
      </c>
      <c r="MR26" s="2">
        <f t="shared" si="599"/>
        <v>-28.6875</v>
      </c>
      <c r="MS26" s="2">
        <f t="shared" si="599"/>
        <v>-28.6875</v>
      </c>
      <c r="MT26" s="2">
        <f t="shared" si="599"/>
        <v>-26.775000000000002</v>
      </c>
      <c r="MU26" s="2">
        <f t="shared" si="599"/>
        <v>-19.125</v>
      </c>
      <c r="MV26" s="2">
        <f t="shared" si="599"/>
        <v>-9.5625</v>
      </c>
      <c r="MW26" s="2">
        <f t="shared" si="599"/>
        <v>-19.125</v>
      </c>
      <c r="MX26" s="2">
        <f t="shared" si="599"/>
        <v>-28.6875</v>
      </c>
      <c r="MY26" s="2">
        <f t="shared" si="599"/>
        <v>-28.6875</v>
      </c>
      <c r="MZ26" s="2">
        <f t="shared" si="599"/>
        <v>-28.6875</v>
      </c>
      <c r="NA26" s="2">
        <f t="shared" si="599"/>
        <v>-26.775000000000002</v>
      </c>
      <c r="NB26" s="2">
        <f t="shared" si="599"/>
        <v>-19.125</v>
      </c>
      <c r="NC26" s="2">
        <f t="shared" si="599"/>
        <v>-9.5625</v>
      </c>
      <c r="ND26" s="2">
        <f t="shared" si="599"/>
        <v>-19.125</v>
      </c>
      <c r="NE26" s="2">
        <f t="shared" si="599"/>
        <v>-28.6875</v>
      </c>
      <c r="NF26" s="2">
        <f t="shared" si="599"/>
        <v>-28.6875</v>
      </c>
      <c r="NG26" s="2">
        <f t="shared" si="599"/>
        <v>-28.6875</v>
      </c>
      <c r="NH26" s="2">
        <f t="shared" si="599"/>
        <v>-26.775000000000002</v>
      </c>
      <c r="NI26" s="2">
        <f t="shared" si="599"/>
        <v>-19.125</v>
      </c>
      <c r="NJ26" s="2">
        <f t="shared" si="599"/>
        <v>-9.5625</v>
      </c>
      <c r="NK26" s="2">
        <f t="shared" si="599"/>
        <v>-19.125</v>
      </c>
      <c r="NL26" s="2">
        <f t="shared" si="599"/>
        <v>-28.6875</v>
      </c>
      <c r="NM26" s="2">
        <f t="shared" si="599"/>
        <v>-28.6875</v>
      </c>
      <c r="NN26" s="2">
        <f t="shared" si="599"/>
        <v>-28.6875</v>
      </c>
      <c r="NO26" s="2">
        <f t="shared" si="599"/>
        <v>-26.775000000000002</v>
      </c>
      <c r="NP26" s="2">
        <f t="shared" si="599"/>
        <v>-19.125</v>
      </c>
      <c r="NQ26" s="2">
        <f t="shared" si="599"/>
        <v>-9.5625</v>
      </c>
      <c r="NR26" s="2">
        <f t="shared" si="599"/>
        <v>-19.125</v>
      </c>
      <c r="NS26" s="2">
        <f t="shared" si="599"/>
        <v>-28.6875</v>
      </c>
      <c r="NT26" s="2">
        <f t="shared" si="599"/>
        <v>-28.6875</v>
      </c>
      <c r="NU26" s="2">
        <f t="shared" si="599"/>
        <v>-28.6875</v>
      </c>
      <c r="NV26" s="2">
        <f t="shared" si="599"/>
        <v>-26.775000000000002</v>
      </c>
      <c r="NW26" s="2">
        <f t="shared" si="599"/>
        <v>-19.125</v>
      </c>
      <c r="NX26" s="2">
        <f t="shared" ref="NX26:QI26" si="600">-NX23*$C$12*$C$13</f>
        <v>-9.5625</v>
      </c>
      <c r="NY26" s="2">
        <f t="shared" si="600"/>
        <v>-19.125</v>
      </c>
      <c r="NZ26" s="2">
        <f t="shared" si="600"/>
        <v>-28.6875</v>
      </c>
      <c r="OA26" s="2">
        <f t="shared" si="600"/>
        <v>-28.6875</v>
      </c>
      <c r="OB26" s="2">
        <f t="shared" si="600"/>
        <v>-28.6875</v>
      </c>
      <c r="OC26" s="2">
        <f t="shared" si="600"/>
        <v>-26.775000000000002</v>
      </c>
      <c r="OD26" s="2">
        <f t="shared" si="600"/>
        <v>-19.125</v>
      </c>
      <c r="OE26" s="2">
        <f t="shared" si="600"/>
        <v>-9.5625</v>
      </c>
      <c r="OF26" s="2">
        <f t="shared" si="600"/>
        <v>-19.125</v>
      </c>
      <c r="OG26" s="2">
        <f t="shared" si="600"/>
        <v>-28.6875</v>
      </c>
      <c r="OH26" s="2">
        <f t="shared" si="600"/>
        <v>-28.6875</v>
      </c>
      <c r="OI26" s="2">
        <f t="shared" si="600"/>
        <v>-28.6875</v>
      </c>
      <c r="OJ26" s="2">
        <f t="shared" si="600"/>
        <v>-26.775000000000002</v>
      </c>
      <c r="OK26" s="2">
        <f t="shared" si="600"/>
        <v>-19.125</v>
      </c>
      <c r="OL26" s="2">
        <f t="shared" si="600"/>
        <v>-9.5625</v>
      </c>
      <c r="OM26" s="2">
        <f t="shared" si="600"/>
        <v>-19.125</v>
      </c>
      <c r="ON26" s="2">
        <f t="shared" si="600"/>
        <v>-28.6875</v>
      </c>
      <c r="OO26" s="2">
        <f t="shared" si="600"/>
        <v>-28.6875</v>
      </c>
      <c r="OP26" s="2">
        <f t="shared" si="600"/>
        <v>-28.6875</v>
      </c>
      <c r="OQ26" s="2">
        <f t="shared" si="600"/>
        <v>-26.775000000000002</v>
      </c>
      <c r="OR26" s="2">
        <f t="shared" si="600"/>
        <v>-19.125</v>
      </c>
      <c r="OS26" s="2">
        <f t="shared" si="600"/>
        <v>-9.5625</v>
      </c>
      <c r="OT26" s="2">
        <f t="shared" si="600"/>
        <v>-19.125</v>
      </c>
      <c r="OU26" s="2">
        <f t="shared" si="600"/>
        <v>-28.6875</v>
      </c>
      <c r="OV26" s="2">
        <f t="shared" si="600"/>
        <v>-28.6875</v>
      </c>
      <c r="OW26" s="2">
        <f t="shared" si="600"/>
        <v>-28.6875</v>
      </c>
      <c r="OX26" s="2">
        <f t="shared" si="600"/>
        <v>-26.775000000000002</v>
      </c>
      <c r="OY26" s="2">
        <f t="shared" si="600"/>
        <v>-19.125</v>
      </c>
      <c r="OZ26" s="2">
        <f t="shared" si="600"/>
        <v>-9.5625</v>
      </c>
      <c r="PA26" s="2">
        <f t="shared" si="600"/>
        <v>-19.125</v>
      </c>
      <c r="PB26" s="2">
        <f t="shared" si="600"/>
        <v>-28.6875</v>
      </c>
      <c r="PC26" s="2">
        <f t="shared" si="600"/>
        <v>-28.6875</v>
      </c>
      <c r="PD26" s="2">
        <f t="shared" si="600"/>
        <v>-28.6875</v>
      </c>
      <c r="PE26" s="2">
        <f t="shared" si="600"/>
        <v>-26.775000000000002</v>
      </c>
      <c r="PF26" s="2">
        <f t="shared" si="600"/>
        <v>-19.125</v>
      </c>
      <c r="PG26" s="2">
        <f t="shared" si="600"/>
        <v>-9.5625</v>
      </c>
      <c r="PH26" s="2">
        <f t="shared" si="600"/>
        <v>-19.125</v>
      </c>
      <c r="PI26" s="2">
        <f t="shared" si="600"/>
        <v>-28.6875</v>
      </c>
      <c r="PJ26" s="2">
        <f t="shared" si="600"/>
        <v>-28.6875</v>
      </c>
      <c r="PK26" s="2">
        <f t="shared" si="600"/>
        <v>-28.6875</v>
      </c>
      <c r="PL26" s="2">
        <f t="shared" si="600"/>
        <v>-26.775000000000002</v>
      </c>
      <c r="PM26" s="2">
        <f t="shared" si="600"/>
        <v>-19.125</v>
      </c>
      <c r="PN26" s="2">
        <f t="shared" si="600"/>
        <v>-9.5625</v>
      </c>
      <c r="PO26" s="2">
        <f t="shared" si="600"/>
        <v>-19.125</v>
      </c>
      <c r="PP26" s="2">
        <f t="shared" si="600"/>
        <v>-28.6875</v>
      </c>
      <c r="PQ26" s="2">
        <f t="shared" si="600"/>
        <v>-28.6875</v>
      </c>
      <c r="PR26" s="2">
        <f t="shared" si="600"/>
        <v>-28.6875</v>
      </c>
      <c r="PS26" s="2">
        <f t="shared" si="600"/>
        <v>-26.775000000000002</v>
      </c>
      <c r="PT26" s="2">
        <f t="shared" si="600"/>
        <v>-19.125</v>
      </c>
      <c r="PU26" s="2">
        <f t="shared" si="600"/>
        <v>-9.5625</v>
      </c>
      <c r="PV26" s="2">
        <f t="shared" si="600"/>
        <v>-19.125</v>
      </c>
      <c r="PW26" s="2">
        <f t="shared" si="600"/>
        <v>-28.6875</v>
      </c>
      <c r="PX26" s="2">
        <f t="shared" si="600"/>
        <v>-28.6875</v>
      </c>
      <c r="PY26" s="2">
        <f t="shared" si="600"/>
        <v>-28.6875</v>
      </c>
      <c r="PZ26" s="2">
        <f t="shared" si="600"/>
        <v>-26.775000000000002</v>
      </c>
      <c r="QA26" s="2">
        <f t="shared" si="600"/>
        <v>-19.125</v>
      </c>
      <c r="QB26" s="2">
        <f t="shared" si="600"/>
        <v>-9.5625</v>
      </c>
      <c r="QC26" s="2">
        <f t="shared" si="600"/>
        <v>-19.125</v>
      </c>
      <c r="QD26" s="2">
        <f t="shared" si="600"/>
        <v>-28.6875</v>
      </c>
      <c r="QE26" s="2">
        <f t="shared" si="600"/>
        <v>-28.6875</v>
      </c>
      <c r="QF26" s="2">
        <f t="shared" si="600"/>
        <v>-28.6875</v>
      </c>
      <c r="QG26" s="2">
        <f t="shared" si="600"/>
        <v>-26.775000000000002</v>
      </c>
      <c r="QH26" s="2">
        <f t="shared" si="600"/>
        <v>-19.125</v>
      </c>
      <c r="QI26" s="2">
        <f t="shared" si="600"/>
        <v>-9.5625</v>
      </c>
      <c r="QJ26" s="2">
        <f t="shared" ref="QJ26:SU26" si="601">-QJ23*$C$12*$C$13</f>
        <v>-19.125</v>
      </c>
      <c r="QK26" s="2">
        <f t="shared" si="601"/>
        <v>-28.6875</v>
      </c>
      <c r="QL26" s="2">
        <f t="shared" si="601"/>
        <v>-28.6875</v>
      </c>
      <c r="QM26" s="2">
        <f t="shared" si="601"/>
        <v>-28.6875</v>
      </c>
      <c r="QN26" s="2">
        <f t="shared" si="601"/>
        <v>-26.775000000000002</v>
      </c>
      <c r="QO26" s="2">
        <f t="shared" si="601"/>
        <v>-19.125</v>
      </c>
      <c r="QP26" s="2">
        <f t="shared" si="601"/>
        <v>-9.5625</v>
      </c>
      <c r="QQ26" s="2">
        <f t="shared" si="601"/>
        <v>-19.125</v>
      </c>
      <c r="QR26" s="2">
        <f t="shared" si="601"/>
        <v>-28.6875</v>
      </c>
      <c r="QS26" s="2">
        <f t="shared" si="601"/>
        <v>-28.6875</v>
      </c>
      <c r="QT26" s="2">
        <f t="shared" si="601"/>
        <v>-28.6875</v>
      </c>
      <c r="QU26" s="2">
        <f t="shared" si="601"/>
        <v>-26.775000000000002</v>
      </c>
      <c r="QV26" s="2">
        <f t="shared" si="601"/>
        <v>-19.125</v>
      </c>
      <c r="QW26" s="2">
        <f t="shared" si="601"/>
        <v>-9.5625</v>
      </c>
      <c r="QX26" s="2">
        <f t="shared" si="601"/>
        <v>-19.125</v>
      </c>
      <c r="QY26" s="2">
        <f t="shared" si="601"/>
        <v>-28.6875</v>
      </c>
      <c r="QZ26" s="2">
        <f t="shared" si="601"/>
        <v>-28.6875</v>
      </c>
      <c r="RA26" s="2">
        <f t="shared" si="601"/>
        <v>-28.6875</v>
      </c>
      <c r="RB26" s="2">
        <f t="shared" si="601"/>
        <v>-26.775000000000002</v>
      </c>
      <c r="RC26" s="2">
        <f t="shared" si="601"/>
        <v>-19.125</v>
      </c>
      <c r="RD26" s="2">
        <f t="shared" si="601"/>
        <v>-9.5625</v>
      </c>
      <c r="RE26" s="2">
        <f t="shared" si="601"/>
        <v>-19.125</v>
      </c>
      <c r="RF26" s="2">
        <f t="shared" si="601"/>
        <v>-28.6875</v>
      </c>
      <c r="RG26" s="2">
        <f t="shared" si="601"/>
        <v>-28.6875</v>
      </c>
      <c r="RH26" s="2">
        <f t="shared" si="601"/>
        <v>-28.6875</v>
      </c>
      <c r="RI26" s="2">
        <f t="shared" si="601"/>
        <v>-26.775000000000002</v>
      </c>
      <c r="RJ26" s="2">
        <f t="shared" si="601"/>
        <v>-19.125</v>
      </c>
      <c r="RK26" s="2">
        <f t="shared" si="601"/>
        <v>-9.5625</v>
      </c>
      <c r="RL26" s="2">
        <f t="shared" si="601"/>
        <v>-19.125</v>
      </c>
      <c r="RM26" s="2">
        <f t="shared" si="601"/>
        <v>-28.6875</v>
      </c>
      <c r="RN26" s="2">
        <f t="shared" si="601"/>
        <v>-28.6875</v>
      </c>
      <c r="RO26" s="2">
        <f t="shared" si="601"/>
        <v>-28.6875</v>
      </c>
      <c r="RP26" s="2">
        <f t="shared" si="601"/>
        <v>-26.775000000000002</v>
      </c>
      <c r="RQ26" s="2">
        <f t="shared" si="601"/>
        <v>-19.125</v>
      </c>
      <c r="RR26" s="2">
        <f t="shared" si="601"/>
        <v>-9.5625</v>
      </c>
      <c r="RS26" s="2">
        <f t="shared" si="601"/>
        <v>-19.125</v>
      </c>
      <c r="RT26" s="2">
        <f t="shared" si="601"/>
        <v>-28.6875</v>
      </c>
      <c r="RU26" s="2">
        <f t="shared" si="601"/>
        <v>-28.6875</v>
      </c>
      <c r="RV26" s="2">
        <f t="shared" si="601"/>
        <v>-28.6875</v>
      </c>
      <c r="RW26" s="2">
        <f t="shared" si="601"/>
        <v>-26.775000000000002</v>
      </c>
      <c r="RX26" s="2">
        <f t="shared" si="601"/>
        <v>-19.125</v>
      </c>
      <c r="RY26" s="2">
        <f t="shared" si="601"/>
        <v>-9.5625</v>
      </c>
      <c r="RZ26" s="2">
        <f t="shared" si="601"/>
        <v>-19.125</v>
      </c>
      <c r="SA26" s="2">
        <f t="shared" si="601"/>
        <v>-28.6875</v>
      </c>
      <c r="SB26" s="2">
        <f t="shared" si="601"/>
        <v>-28.6875</v>
      </c>
      <c r="SC26" s="2">
        <f t="shared" si="601"/>
        <v>-28.6875</v>
      </c>
      <c r="SD26" s="2">
        <f t="shared" si="601"/>
        <v>-26.775000000000002</v>
      </c>
      <c r="SE26" s="2">
        <f t="shared" si="601"/>
        <v>-19.125</v>
      </c>
      <c r="SF26" s="2">
        <f t="shared" si="601"/>
        <v>-9.5625</v>
      </c>
      <c r="SG26" s="2">
        <f t="shared" si="601"/>
        <v>-19.125</v>
      </c>
      <c r="SH26" s="2">
        <f t="shared" si="601"/>
        <v>-28.6875</v>
      </c>
      <c r="SI26" s="2">
        <f t="shared" si="601"/>
        <v>-28.6875</v>
      </c>
      <c r="SJ26" s="2">
        <f t="shared" si="601"/>
        <v>-28.6875</v>
      </c>
      <c r="SK26" s="2">
        <f t="shared" si="601"/>
        <v>-26.775000000000002</v>
      </c>
      <c r="SL26" s="2">
        <f t="shared" si="601"/>
        <v>-19.125</v>
      </c>
      <c r="SM26" s="2">
        <f t="shared" si="601"/>
        <v>-9.5625</v>
      </c>
      <c r="SN26" s="2">
        <f t="shared" si="601"/>
        <v>-19.125</v>
      </c>
      <c r="SO26" s="2">
        <f t="shared" si="601"/>
        <v>-28.6875</v>
      </c>
      <c r="SP26" s="2">
        <f t="shared" si="601"/>
        <v>-28.6875</v>
      </c>
      <c r="SQ26" s="2">
        <f t="shared" si="601"/>
        <v>-28.6875</v>
      </c>
      <c r="SR26" s="2">
        <f t="shared" si="601"/>
        <v>-26.775000000000002</v>
      </c>
      <c r="SS26" s="2">
        <f t="shared" si="601"/>
        <v>-19.125</v>
      </c>
      <c r="ST26" s="2">
        <f t="shared" si="601"/>
        <v>-9.5625</v>
      </c>
      <c r="SU26" s="2">
        <f t="shared" si="601"/>
        <v>-19.125</v>
      </c>
      <c r="SV26" s="2">
        <f t="shared" ref="SV26:VG26" si="602">-SV23*$C$12*$C$13</f>
        <v>-28.6875</v>
      </c>
      <c r="SW26" s="2">
        <f t="shared" si="602"/>
        <v>-28.6875</v>
      </c>
      <c r="SX26" s="2">
        <f t="shared" si="602"/>
        <v>-28.6875</v>
      </c>
      <c r="SY26" s="2">
        <f t="shared" si="602"/>
        <v>-26.775000000000002</v>
      </c>
      <c r="SZ26" s="2">
        <f t="shared" si="602"/>
        <v>-19.125</v>
      </c>
      <c r="TA26" s="2">
        <f t="shared" si="602"/>
        <v>-9.5625</v>
      </c>
      <c r="TB26" s="2">
        <f t="shared" si="602"/>
        <v>-19.125</v>
      </c>
      <c r="TC26" s="2">
        <f t="shared" si="602"/>
        <v>-28.6875</v>
      </c>
      <c r="TD26" s="2">
        <f t="shared" si="602"/>
        <v>-28.6875</v>
      </c>
      <c r="TE26" s="2">
        <f t="shared" si="602"/>
        <v>-28.6875</v>
      </c>
      <c r="TF26" s="2">
        <f t="shared" si="602"/>
        <v>-26.775000000000002</v>
      </c>
      <c r="TG26" s="2">
        <f t="shared" si="602"/>
        <v>-19.125</v>
      </c>
      <c r="TH26" s="2">
        <f t="shared" si="602"/>
        <v>-9.5625</v>
      </c>
      <c r="TI26" s="2">
        <f t="shared" si="602"/>
        <v>-19.125</v>
      </c>
      <c r="TJ26" s="2">
        <f t="shared" si="602"/>
        <v>-28.6875</v>
      </c>
      <c r="TK26" s="2">
        <f t="shared" si="602"/>
        <v>-28.6875</v>
      </c>
      <c r="TL26" s="2">
        <f t="shared" si="602"/>
        <v>-28.6875</v>
      </c>
      <c r="TM26" s="2">
        <f t="shared" si="602"/>
        <v>-26.775000000000002</v>
      </c>
      <c r="TN26" s="2">
        <f t="shared" si="602"/>
        <v>-19.125</v>
      </c>
      <c r="TO26" s="2">
        <f t="shared" si="602"/>
        <v>-9.5625</v>
      </c>
      <c r="TP26" s="2">
        <f t="shared" si="602"/>
        <v>-19.125</v>
      </c>
      <c r="TQ26" s="2">
        <f t="shared" si="602"/>
        <v>-28.6875</v>
      </c>
      <c r="TR26" s="2">
        <f t="shared" si="602"/>
        <v>-28.6875</v>
      </c>
      <c r="TS26" s="2">
        <f t="shared" si="602"/>
        <v>-28.6875</v>
      </c>
      <c r="TT26" s="2">
        <f t="shared" si="602"/>
        <v>-26.775000000000002</v>
      </c>
      <c r="TU26" s="2">
        <f t="shared" si="602"/>
        <v>-19.125</v>
      </c>
      <c r="TV26" s="2">
        <f t="shared" si="602"/>
        <v>-9.5625</v>
      </c>
      <c r="TW26" s="2">
        <f t="shared" si="602"/>
        <v>-19.125</v>
      </c>
      <c r="TX26" s="2">
        <f t="shared" si="602"/>
        <v>-28.6875</v>
      </c>
      <c r="TY26" s="2">
        <f t="shared" si="602"/>
        <v>-28.6875</v>
      </c>
      <c r="TZ26" s="2">
        <f t="shared" si="602"/>
        <v>-28.6875</v>
      </c>
      <c r="UA26" s="2">
        <f t="shared" si="602"/>
        <v>-26.775000000000002</v>
      </c>
      <c r="UB26" s="2">
        <f t="shared" si="602"/>
        <v>-19.125</v>
      </c>
      <c r="UC26" s="2">
        <f t="shared" si="602"/>
        <v>-9.5625</v>
      </c>
      <c r="UD26" s="2">
        <f t="shared" si="602"/>
        <v>-19.125</v>
      </c>
      <c r="UE26" s="2">
        <f t="shared" si="602"/>
        <v>-28.6875</v>
      </c>
      <c r="UF26" s="2">
        <f t="shared" si="602"/>
        <v>-28.6875</v>
      </c>
      <c r="UG26" s="2">
        <f t="shared" si="602"/>
        <v>-28.6875</v>
      </c>
      <c r="UH26" s="2">
        <f t="shared" si="602"/>
        <v>-26.775000000000002</v>
      </c>
      <c r="UI26" s="2">
        <f t="shared" si="602"/>
        <v>-19.125</v>
      </c>
      <c r="UJ26" s="2">
        <f t="shared" si="602"/>
        <v>-9.5625</v>
      </c>
      <c r="UK26" s="2">
        <f t="shared" si="602"/>
        <v>-19.125</v>
      </c>
      <c r="UL26" s="2">
        <f t="shared" si="602"/>
        <v>-28.6875</v>
      </c>
      <c r="UM26" s="2">
        <f t="shared" si="602"/>
        <v>-28.6875</v>
      </c>
      <c r="UN26" s="2">
        <f t="shared" si="602"/>
        <v>-28.6875</v>
      </c>
      <c r="UO26" s="2">
        <f t="shared" si="602"/>
        <v>-26.775000000000002</v>
      </c>
      <c r="UP26" s="2">
        <f t="shared" si="602"/>
        <v>-19.125</v>
      </c>
      <c r="UQ26" s="2">
        <f t="shared" si="602"/>
        <v>-9.5625</v>
      </c>
      <c r="UR26" s="2">
        <f t="shared" si="602"/>
        <v>-19.125</v>
      </c>
      <c r="US26" s="2">
        <f t="shared" si="602"/>
        <v>-28.6875</v>
      </c>
      <c r="UT26" s="2">
        <f t="shared" si="602"/>
        <v>-28.6875</v>
      </c>
      <c r="UU26" s="2">
        <f t="shared" si="602"/>
        <v>-28.6875</v>
      </c>
      <c r="UV26" s="2">
        <f t="shared" si="602"/>
        <v>-26.775000000000002</v>
      </c>
      <c r="UW26" s="2">
        <f t="shared" si="602"/>
        <v>-19.125</v>
      </c>
      <c r="UX26" s="2">
        <f t="shared" si="602"/>
        <v>-9.5625</v>
      </c>
      <c r="UY26" s="2">
        <f t="shared" si="602"/>
        <v>-19.125</v>
      </c>
      <c r="UZ26" s="2">
        <f t="shared" si="602"/>
        <v>-28.6875</v>
      </c>
      <c r="VA26" s="2">
        <f t="shared" si="602"/>
        <v>-28.6875</v>
      </c>
      <c r="VB26" s="2">
        <f t="shared" si="602"/>
        <v>-28.6875</v>
      </c>
      <c r="VC26" s="2">
        <f t="shared" si="602"/>
        <v>-26.775000000000002</v>
      </c>
      <c r="VD26" s="2">
        <f t="shared" si="602"/>
        <v>-19.125</v>
      </c>
      <c r="VE26" s="2">
        <f t="shared" si="602"/>
        <v>-9.5625</v>
      </c>
      <c r="VF26" s="2">
        <f t="shared" si="602"/>
        <v>-19.125</v>
      </c>
      <c r="VG26" s="2">
        <f t="shared" si="602"/>
        <v>-28.6875</v>
      </c>
      <c r="VH26" s="2">
        <f t="shared" ref="VH26:XQ26" si="603">-VH23*$C$12*$C$13</f>
        <v>-28.6875</v>
      </c>
      <c r="VI26" s="2">
        <f t="shared" si="603"/>
        <v>-28.6875</v>
      </c>
      <c r="VJ26" s="2">
        <f t="shared" si="603"/>
        <v>-26.775000000000002</v>
      </c>
      <c r="VK26" s="2">
        <f t="shared" si="603"/>
        <v>-19.125</v>
      </c>
      <c r="VL26" s="2">
        <f t="shared" si="603"/>
        <v>-9.5625</v>
      </c>
      <c r="VM26" s="2">
        <f t="shared" si="603"/>
        <v>-19.125</v>
      </c>
      <c r="VN26" s="2">
        <f t="shared" si="603"/>
        <v>-28.6875</v>
      </c>
      <c r="VO26" s="2">
        <f t="shared" si="603"/>
        <v>-28.6875</v>
      </c>
      <c r="VP26" s="2">
        <f t="shared" si="603"/>
        <v>-28.6875</v>
      </c>
      <c r="VQ26" s="2">
        <f t="shared" si="603"/>
        <v>-26.775000000000002</v>
      </c>
      <c r="VR26" s="2">
        <f t="shared" si="603"/>
        <v>-19.125</v>
      </c>
      <c r="VS26" s="2">
        <f t="shared" si="603"/>
        <v>-9.5625</v>
      </c>
      <c r="VT26" s="2">
        <f t="shared" si="603"/>
        <v>-19.125</v>
      </c>
      <c r="VU26" s="2">
        <f t="shared" si="603"/>
        <v>-28.6875</v>
      </c>
      <c r="VV26" s="2">
        <f t="shared" si="603"/>
        <v>-28.6875</v>
      </c>
      <c r="VW26" s="2">
        <f t="shared" si="603"/>
        <v>-28.6875</v>
      </c>
      <c r="VX26" s="2">
        <f t="shared" si="603"/>
        <v>-26.775000000000002</v>
      </c>
      <c r="VY26" s="2">
        <f t="shared" si="603"/>
        <v>-19.125</v>
      </c>
      <c r="VZ26" s="2">
        <f t="shared" si="603"/>
        <v>-9.5625</v>
      </c>
      <c r="WA26" s="2">
        <f t="shared" si="603"/>
        <v>-19.125</v>
      </c>
      <c r="WB26" s="2">
        <f t="shared" si="603"/>
        <v>-28.6875</v>
      </c>
      <c r="WC26" s="2">
        <f t="shared" si="603"/>
        <v>-28.6875</v>
      </c>
      <c r="WD26" s="2">
        <f t="shared" si="603"/>
        <v>-28.6875</v>
      </c>
      <c r="WE26" s="2">
        <f t="shared" si="603"/>
        <v>-26.775000000000002</v>
      </c>
      <c r="WF26" s="2">
        <f t="shared" si="603"/>
        <v>-19.125</v>
      </c>
      <c r="WG26" s="2">
        <f t="shared" si="603"/>
        <v>-9.5625</v>
      </c>
      <c r="WH26" s="2">
        <f t="shared" si="603"/>
        <v>-19.125</v>
      </c>
      <c r="WI26" s="2">
        <f t="shared" si="603"/>
        <v>-28.6875</v>
      </c>
      <c r="WJ26" s="2">
        <f t="shared" si="603"/>
        <v>-28.6875</v>
      </c>
      <c r="WK26" s="2">
        <f t="shared" si="603"/>
        <v>-28.6875</v>
      </c>
      <c r="WL26" s="2">
        <f t="shared" si="603"/>
        <v>-26.775000000000002</v>
      </c>
      <c r="WM26" s="2">
        <f t="shared" si="603"/>
        <v>-19.125</v>
      </c>
      <c r="WN26" s="2">
        <f t="shared" si="603"/>
        <v>-9.5625</v>
      </c>
      <c r="WO26" s="2">
        <f t="shared" si="603"/>
        <v>-19.125</v>
      </c>
      <c r="WP26" s="2">
        <f t="shared" si="603"/>
        <v>-28.6875</v>
      </c>
      <c r="WQ26" s="2">
        <f t="shared" si="603"/>
        <v>-28.6875</v>
      </c>
      <c r="WR26" s="2">
        <f t="shared" si="603"/>
        <v>-28.6875</v>
      </c>
      <c r="WS26" s="2">
        <f t="shared" si="603"/>
        <v>-26.775000000000002</v>
      </c>
      <c r="WT26" s="2">
        <f t="shared" si="603"/>
        <v>-19.125</v>
      </c>
      <c r="WU26" s="2">
        <f t="shared" si="603"/>
        <v>-9.5625</v>
      </c>
      <c r="WV26" s="2">
        <f t="shared" si="603"/>
        <v>-19.125</v>
      </c>
      <c r="WW26" s="2">
        <f t="shared" si="603"/>
        <v>-28.6875</v>
      </c>
      <c r="WX26" s="2">
        <f t="shared" si="603"/>
        <v>-28.6875</v>
      </c>
      <c r="WY26" s="2">
        <f t="shared" si="603"/>
        <v>-28.6875</v>
      </c>
      <c r="WZ26" s="2">
        <f t="shared" si="603"/>
        <v>-26.775000000000002</v>
      </c>
      <c r="XA26" s="2">
        <f t="shared" si="603"/>
        <v>-19.125</v>
      </c>
      <c r="XB26" s="2">
        <f t="shared" si="603"/>
        <v>-9.5625</v>
      </c>
      <c r="XC26" s="2">
        <f t="shared" si="603"/>
        <v>-19.125</v>
      </c>
      <c r="XD26" s="2">
        <f t="shared" si="603"/>
        <v>-28.6875</v>
      </c>
      <c r="XE26" s="2">
        <f t="shared" si="603"/>
        <v>-28.6875</v>
      </c>
      <c r="XF26" s="2">
        <f t="shared" si="603"/>
        <v>-28.6875</v>
      </c>
      <c r="XG26" s="2">
        <f t="shared" si="603"/>
        <v>-26.775000000000002</v>
      </c>
      <c r="XH26" s="2">
        <f t="shared" si="603"/>
        <v>-19.125</v>
      </c>
      <c r="XI26" s="2">
        <f t="shared" si="603"/>
        <v>-9.5625</v>
      </c>
      <c r="XJ26" s="2">
        <f t="shared" si="603"/>
        <v>-19.125</v>
      </c>
      <c r="XK26" s="2">
        <f t="shared" si="603"/>
        <v>-28.6875</v>
      </c>
      <c r="XL26" s="2">
        <f t="shared" si="603"/>
        <v>-28.6875</v>
      </c>
      <c r="XM26" s="2">
        <f t="shared" si="603"/>
        <v>-28.6875</v>
      </c>
      <c r="XN26" s="2">
        <f t="shared" si="603"/>
        <v>-26.775000000000002</v>
      </c>
      <c r="XO26" s="2">
        <f t="shared" si="603"/>
        <v>-19.125</v>
      </c>
      <c r="XP26" s="2">
        <f t="shared" si="603"/>
        <v>-9.5625</v>
      </c>
      <c r="XQ26" s="2">
        <f t="shared" si="603"/>
        <v>-19.125</v>
      </c>
    </row>
    <row r="27" spans="2:641" x14ac:dyDescent="0.3">
      <c r="B27" s="16" t="s">
        <v>77</v>
      </c>
      <c r="C27" s="2">
        <f>C23*$C$8 + $C$9*C24</f>
        <v>1600</v>
      </c>
      <c r="D27" s="2">
        <f t="shared" ref="D27:BO27" si="604">D23*$C$8 + $C$9*D24</f>
        <v>2960</v>
      </c>
      <c r="E27" s="2">
        <f t="shared" si="604"/>
        <v>4320</v>
      </c>
      <c r="F27" s="2">
        <f t="shared" si="604"/>
        <v>4320</v>
      </c>
      <c r="G27" s="2">
        <f t="shared" si="604"/>
        <v>4320</v>
      </c>
      <c r="H27" s="2">
        <f t="shared" si="604"/>
        <v>3808</v>
      </c>
      <c r="I27" s="2">
        <f t="shared" si="604"/>
        <v>2720</v>
      </c>
      <c r="J27" s="2">
        <f t="shared" si="604"/>
        <v>1840</v>
      </c>
      <c r="K27" s="2">
        <f t="shared" si="604"/>
        <v>3200</v>
      </c>
      <c r="L27" s="2">
        <f t="shared" si="604"/>
        <v>4560</v>
      </c>
      <c r="M27" s="2">
        <f t="shared" si="604"/>
        <v>4560</v>
      </c>
      <c r="N27" s="2">
        <f t="shared" si="604"/>
        <v>4560</v>
      </c>
      <c r="O27" s="2">
        <f t="shared" si="604"/>
        <v>3808</v>
      </c>
      <c r="P27" s="2">
        <f t="shared" si="604"/>
        <v>2720</v>
      </c>
      <c r="Q27" s="2">
        <f t="shared" si="604"/>
        <v>1840</v>
      </c>
      <c r="R27" s="2">
        <f t="shared" si="604"/>
        <v>3200</v>
      </c>
      <c r="S27" s="2">
        <f t="shared" si="604"/>
        <v>4560</v>
      </c>
      <c r="T27" s="2">
        <f t="shared" si="604"/>
        <v>4560</v>
      </c>
      <c r="U27" s="2">
        <f t="shared" si="604"/>
        <v>4560</v>
      </c>
      <c r="V27" s="2">
        <f t="shared" si="604"/>
        <v>3808</v>
      </c>
      <c r="W27" s="2">
        <f t="shared" si="604"/>
        <v>2720</v>
      </c>
      <c r="X27" s="2">
        <f t="shared" si="604"/>
        <v>1840</v>
      </c>
      <c r="Y27" s="2">
        <f t="shared" si="604"/>
        <v>3200</v>
      </c>
      <c r="Z27" s="2">
        <f t="shared" si="604"/>
        <v>4560</v>
      </c>
      <c r="AA27" s="2">
        <f t="shared" si="604"/>
        <v>4560</v>
      </c>
      <c r="AB27" s="2">
        <f t="shared" si="604"/>
        <v>4560</v>
      </c>
      <c r="AC27" s="2">
        <f t="shared" si="604"/>
        <v>3808</v>
      </c>
      <c r="AD27" s="2">
        <f t="shared" si="604"/>
        <v>2720</v>
      </c>
      <c r="AE27" s="2">
        <f t="shared" si="604"/>
        <v>1840</v>
      </c>
      <c r="AF27" s="2">
        <f t="shared" si="604"/>
        <v>3200</v>
      </c>
      <c r="AG27" s="2">
        <f t="shared" si="604"/>
        <v>4560</v>
      </c>
      <c r="AH27" s="2">
        <f t="shared" si="604"/>
        <v>4560</v>
      </c>
      <c r="AI27" s="2">
        <f t="shared" si="604"/>
        <v>4560</v>
      </c>
      <c r="AJ27" s="2">
        <f t="shared" si="604"/>
        <v>3808</v>
      </c>
      <c r="AK27" s="2">
        <f t="shared" si="604"/>
        <v>2720</v>
      </c>
      <c r="AL27" s="2">
        <f t="shared" si="604"/>
        <v>1840</v>
      </c>
      <c r="AM27" s="2">
        <f t="shared" si="604"/>
        <v>3200</v>
      </c>
      <c r="AN27" s="2">
        <f t="shared" si="604"/>
        <v>4560</v>
      </c>
      <c r="AO27" s="2">
        <f t="shared" si="604"/>
        <v>4560</v>
      </c>
      <c r="AP27" s="2">
        <f t="shared" si="604"/>
        <v>4560</v>
      </c>
      <c r="AQ27" s="2">
        <f t="shared" si="604"/>
        <v>3808</v>
      </c>
      <c r="AR27" s="2">
        <f t="shared" si="604"/>
        <v>2720</v>
      </c>
      <c r="AS27" s="2">
        <f t="shared" si="604"/>
        <v>1840</v>
      </c>
      <c r="AT27" s="2">
        <f t="shared" si="604"/>
        <v>3200</v>
      </c>
      <c r="AU27" s="2">
        <f t="shared" si="604"/>
        <v>4560</v>
      </c>
      <c r="AV27" s="2">
        <f t="shared" si="604"/>
        <v>4560</v>
      </c>
      <c r="AW27" s="2">
        <f t="shared" si="604"/>
        <v>4560</v>
      </c>
      <c r="AX27" s="2">
        <f t="shared" si="604"/>
        <v>3808</v>
      </c>
      <c r="AY27" s="2">
        <f t="shared" si="604"/>
        <v>2720</v>
      </c>
      <c r="AZ27" s="2">
        <f t="shared" si="604"/>
        <v>1840</v>
      </c>
      <c r="BA27" s="2">
        <f t="shared" si="604"/>
        <v>3200</v>
      </c>
      <c r="BB27" s="2">
        <f t="shared" si="604"/>
        <v>4560</v>
      </c>
      <c r="BC27" s="2">
        <f t="shared" si="604"/>
        <v>4560</v>
      </c>
      <c r="BD27" s="2">
        <f t="shared" si="604"/>
        <v>4560</v>
      </c>
      <c r="BE27" s="2">
        <f t="shared" si="604"/>
        <v>3808</v>
      </c>
      <c r="BF27" s="2">
        <f t="shared" si="604"/>
        <v>2720</v>
      </c>
      <c r="BG27" s="2">
        <f t="shared" si="604"/>
        <v>1840</v>
      </c>
      <c r="BH27" s="2">
        <f t="shared" si="604"/>
        <v>3200</v>
      </c>
      <c r="BI27" s="2">
        <f t="shared" si="604"/>
        <v>4560</v>
      </c>
      <c r="BJ27" s="2">
        <f t="shared" si="604"/>
        <v>4560</v>
      </c>
      <c r="BK27" s="2">
        <f t="shared" si="604"/>
        <v>4560</v>
      </c>
      <c r="BL27" s="2">
        <f t="shared" si="604"/>
        <v>3808</v>
      </c>
      <c r="BM27" s="2">
        <f t="shared" si="604"/>
        <v>2720</v>
      </c>
      <c r="BN27" s="2">
        <f t="shared" si="604"/>
        <v>1840</v>
      </c>
      <c r="BO27" s="2">
        <f t="shared" si="604"/>
        <v>3200</v>
      </c>
      <c r="BP27" s="2">
        <f t="shared" ref="BP27:EA27" si="605">BP23*$C$8 + $C$9*BP24</f>
        <v>4560</v>
      </c>
      <c r="BQ27" s="2">
        <f t="shared" si="605"/>
        <v>4560</v>
      </c>
      <c r="BR27" s="2">
        <f t="shared" si="605"/>
        <v>4560</v>
      </c>
      <c r="BS27" s="2">
        <f t="shared" si="605"/>
        <v>3808</v>
      </c>
      <c r="BT27" s="2">
        <f t="shared" si="605"/>
        <v>2720</v>
      </c>
      <c r="BU27" s="2">
        <f t="shared" si="605"/>
        <v>1840</v>
      </c>
      <c r="BV27" s="2">
        <f t="shared" si="605"/>
        <v>3200</v>
      </c>
      <c r="BW27" s="2">
        <f t="shared" si="605"/>
        <v>4560</v>
      </c>
      <c r="BX27" s="2">
        <f t="shared" si="605"/>
        <v>4560</v>
      </c>
      <c r="BY27" s="2">
        <f t="shared" si="605"/>
        <v>4560</v>
      </c>
      <c r="BZ27" s="2">
        <f t="shared" si="605"/>
        <v>3808</v>
      </c>
      <c r="CA27" s="2">
        <f t="shared" si="605"/>
        <v>2720</v>
      </c>
      <c r="CB27" s="2">
        <f t="shared" si="605"/>
        <v>1840</v>
      </c>
      <c r="CC27" s="2">
        <f t="shared" si="605"/>
        <v>3200</v>
      </c>
      <c r="CD27" s="2">
        <f t="shared" si="605"/>
        <v>4560</v>
      </c>
      <c r="CE27" s="2">
        <f t="shared" si="605"/>
        <v>4560</v>
      </c>
      <c r="CF27" s="2">
        <f t="shared" si="605"/>
        <v>4560</v>
      </c>
      <c r="CG27" s="2">
        <f t="shared" si="605"/>
        <v>3808</v>
      </c>
      <c r="CH27" s="2">
        <f t="shared" si="605"/>
        <v>2720</v>
      </c>
      <c r="CI27" s="2">
        <f t="shared" si="605"/>
        <v>1840</v>
      </c>
      <c r="CJ27" s="2">
        <f t="shared" si="605"/>
        <v>3200</v>
      </c>
      <c r="CK27" s="2">
        <f t="shared" si="605"/>
        <v>4560</v>
      </c>
      <c r="CL27" s="2">
        <f t="shared" si="605"/>
        <v>4560</v>
      </c>
      <c r="CM27" s="2">
        <f t="shared" si="605"/>
        <v>4560</v>
      </c>
      <c r="CN27" s="2">
        <f t="shared" si="605"/>
        <v>3808</v>
      </c>
      <c r="CO27" s="2">
        <f t="shared" si="605"/>
        <v>2720</v>
      </c>
      <c r="CP27" s="2">
        <f t="shared" si="605"/>
        <v>1840</v>
      </c>
      <c r="CQ27" s="2">
        <f t="shared" si="605"/>
        <v>3200</v>
      </c>
      <c r="CR27" s="2">
        <f t="shared" si="605"/>
        <v>4560</v>
      </c>
      <c r="CS27" s="2">
        <f t="shared" si="605"/>
        <v>4560</v>
      </c>
      <c r="CT27" s="2">
        <f t="shared" si="605"/>
        <v>4560</v>
      </c>
      <c r="CU27" s="2">
        <f t="shared" si="605"/>
        <v>3808</v>
      </c>
      <c r="CV27" s="2">
        <f t="shared" si="605"/>
        <v>2720</v>
      </c>
      <c r="CW27" s="2">
        <f t="shared" si="605"/>
        <v>1840</v>
      </c>
      <c r="CX27" s="2">
        <f t="shared" si="605"/>
        <v>3200</v>
      </c>
      <c r="CY27" s="2">
        <f t="shared" si="605"/>
        <v>4560</v>
      </c>
      <c r="CZ27" s="2">
        <f t="shared" si="605"/>
        <v>4560</v>
      </c>
      <c r="DA27" s="2">
        <f t="shared" si="605"/>
        <v>4560</v>
      </c>
      <c r="DB27" s="2">
        <f t="shared" si="605"/>
        <v>3808</v>
      </c>
      <c r="DC27" s="2">
        <f t="shared" si="605"/>
        <v>2720</v>
      </c>
      <c r="DD27" s="2">
        <f t="shared" si="605"/>
        <v>1840</v>
      </c>
      <c r="DE27" s="2">
        <f t="shared" si="605"/>
        <v>3200</v>
      </c>
      <c r="DF27" s="2">
        <f t="shared" si="605"/>
        <v>4560</v>
      </c>
      <c r="DG27" s="2">
        <f t="shared" si="605"/>
        <v>4560</v>
      </c>
      <c r="DH27" s="2">
        <f t="shared" si="605"/>
        <v>4560</v>
      </c>
      <c r="DI27" s="2">
        <f t="shared" si="605"/>
        <v>3808</v>
      </c>
      <c r="DJ27" s="2">
        <f t="shared" si="605"/>
        <v>2720</v>
      </c>
      <c r="DK27" s="2">
        <f t="shared" si="605"/>
        <v>1840</v>
      </c>
      <c r="DL27" s="2">
        <f t="shared" si="605"/>
        <v>3200</v>
      </c>
      <c r="DM27" s="2">
        <f t="shared" si="605"/>
        <v>4560</v>
      </c>
      <c r="DN27" s="2">
        <f t="shared" si="605"/>
        <v>4560</v>
      </c>
      <c r="DO27" s="2">
        <f t="shared" si="605"/>
        <v>4560</v>
      </c>
      <c r="DP27" s="2">
        <f t="shared" si="605"/>
        <v>3808</v>
      </c>
      <c r="DQ27" s="2">
        <f t="shared" si="605"/>
        <v>2720</v>
      </c>
      <c r="DR27" s="2">
        <f t="shared" si="605"/>
        <v>1840</v>
      </c>
      <c r="DS27" s="2">
        <f t="shared" si="605"/>
        <v>3200</v>
      </c>
      <c r="DT27" s="2">
        <f t="shared" si="605"/>
        <v>4560</v>
      </c>
      <c r="DU27" s="2">
        <f t="shared" si="605"/>
        <v>4560</v>
      </c>
      <c r="DV27" s="2">
        <f t="shared" si="605"/>
        <v>4560</v>
      </c>
      <c r="DW27" s="2">
        <f t="shared" si="605"/>
        <v>3808</v>
      </c>
      <c r="DX27" s="2">
        <f t="shared" si="605"/>
        <v>2720</v>
      </c>
      <c r="DY27" s="2">
        <f t="shared" si="605"/>
        <v>1840</v>
      </c>
      <c r="DZ27" s="2">
        <f t="shared" si="605"/>
        <v>3200</v>
      </c>
      <c r="EA27" s="2">
        <f t="shared" si="605"/>
        <v>4560</v>
      </c>
      <c r="EB27" s="2">
        <f t="shared" ref="EB27:GM27" si="606">EB23*$C$8 + $C$9*EB24</f>
        <v>4560</v>
      </c>
      <c r="EC27" s="2">
        <f t="shared" si="606"/>
        <v>4560</v>
      </c>
      <c r="ED27" s="2">
        <f t="shared" si="606"/>
        <v>3808</v>
      </c>
      <c r="EE27" s="2">
        <f t="shared" si="606"/>
        <v>2720</v>
      </c>
      <c r="EF27" s="2">
        <f t="shared" si="606"/>
        <v>1840</v>
      </c>
      <c r="EG27" s="2">
        <f t="shared" si="606"/>
        <v>3200</v>
      </c>
      <c r="EH27" s="2">
        <f t="shared" si="606"/>
        <v>4560</v>
      </c>
      <c r="EI27" s="2">
        <f t="shared" si="606"/>
        <v>4560</v>
      </c>
      <c r="EJ27" s="2">
        <f t="shared" si="606"/>
        <v>4560</v>
      </c>
      <c r="EK27" s="2">
        <f t="shared" si="606"/>
        <v>3808</v>
      </c>
      <c r="EL27" s="2">
        <f t="shared" si="606"/>
        <v>2720</v>
      </c>
      <c r="EM27" s="2">
        <f t="shared" si="606"/>
        <v>1840</v>
      </c>
      <c r="EN27" s="2">
        <f t="shared" si="606"/>
        <v>3200</v>
      </c>
      <c r="EO27" s="2">
        <f t="shared" si="606"/>
        <v>4560</v>
      </c>
      <c r="EP27" s="2">
        <f t="shared" si="606"/>
        <v>4560</v>
      </c>
      <c r="EQ27" s="2">
        <f t="shared" si="606"/>
        <v>4560</v>
      </c>
      <c r="ER27" s="2">
        <f t="shared" si="606"/>
        <v>3808</v>
      </c>
      <c r="ES27" s="2">
        <f t="shared" si="606"/>
        <v>2720</v>
      </c>
      <c r="ET27" s="2">
        <f t="shared" si="606"/>
        <v>1840</v>
      </c>
      <c r="EU27" s="2">
        <f t="shared" si="606"/>
        <v>3200</v>
      </c>
      <c r="EV27" s="2">
        <f t="shared" si="606"/>
        <v>4560</v>
      </c>
      <c r="EW27" s="2">
        <f t="shared" si="606"/>
        <v>4560</v>
      </c>
      <c r="EX27" s="2">
        <f t="shared" si="606"/>
        <v>4560</v>
      </c>
      <c r="EY27" s="2">
        <f t="shared" si="606"/>
        <v>3808</v>
      </c>
      <c r="EZ27" s="2">
        <f t="shared" si="606"/>
        <v>2720</v>
      </c>
      <c r="FA27" s="2">
        <f t="shared" si="606"/>
        <v>1840</v>
      </c>
      <c r="FB27" s="2">
        <f t="shared" si="606"/>
        <v>3200</v>
      </c>
      <c r="FC27" s="2">
        <f t="shared" si="606"/>
        <v>4560</v>
      </c>
      <c r="FD27" s="2">
        <f t="shared" si="606"/>
        <v>4560</v>
      </c>
      <c r="FE27" s="2">
        <f t="shared" si="606"/>
        <v>4560</v>
      </c>
      <c r="FF27" s="2">
        <f t="shared" si="606"/>
        <v>3808</v>
      </c>
      <c r="FG27" s="2">
        <f t="shared" si="606"/>
        <v>2720</v>
      </c>
      <c r="FH27" s="2">
        <f t="shared" si="606"/>
        <v>1840</v>
      </c>
      <c r="FI27" s="2">
        <f t="shared" si="606"/>
        <v>3200</v>
      </c>
      <c r="FJ27" s="2">
        <f t="shared" si="606"/>
        <v>4560</v>
      </c>
      <c r="FK27" s="2">
        <f t="shared" si="606"/>
        <v>4560</v>
      </c>
      <c r="FL27" s="2">
        <f t="shared" si="606"/>
        <v>4560</v>
      </c>
      <c r="FM27" s="2">
        <f t="shared" si="606"/>
        <v>3808</v>
      </c>
      <c r="FN27" s="2">
        <f t="shared" si="606"/>
        <v>2720</v>
      </c>
      <c r="FO27" s="2">
        <f t="shared" si="606"/>
        <v>1840</v>
      </c>
      <c r="FP27" s="2">
        <f t="shared" si="606"/>
        <v>3200</v>
      </c>
      <c r="FQ27" s="2">
        <f t="shared" si="606"/>
        <v>4560</v>
      </c>
      <c r="FR27" s="2">
        <f t="shared" si="606"/>
        <v>4560</v>
      </c>
      <c r="FS27" s="2">
        <f t="shared" si="606"/>
        <v>4560</v>
      </c>
      <c r="FT27" s="2">
        <f t="shared" si="606"/>
        <v>3808</v>
      </c>
      <c r="FU27" s="2">
        <f t="shared" si="606"/>
        <v>2720</v>
      </c>
      <c r="FV27" s="2">
        <f t="shared" si="606"/>
        <v>1840</v>
      </c>
      <c r="FW27" s="2">
        <f t="shared" si="606"/>
        <v>3200</v>
      </c>
      <c r="FX27" s="2">
        <f t="shared" si="606"/>
        <v>4560</v>
      </c>
      <c r="FY27" s="2">
        <f t="shared" si="606"/>
        <v>4560</v>
      </c>
      <c r="FZ27" s="2">
        <f t="shared" si="606"/>
        <v>4560</v>
      </c>
      <c r="GA27" s="2">
        <f t="shared" si="606"/>
        <v>3808</v>
      </c>
      <c r="GB27" s="2">
        <f t="shared" si="606"/>
        <v>2720</v>
      </c>
      <c r="GC27" s="2">
        <f t="shared" si="606"/>
        <v>1840</v>
      </c>
      <c r="GD27" s="2">
        <f t="shared" si="606"/>
        <v>3200</v>
      </c>
      <c r="GE27" s="2">
        <f t="shared" si="606"/>
        <v>4560</v>
      </c>
      <c r="GF27" s="2">
        <f t="shared" si="606"/>
        <v>4560</v>
      </c>
      <c r="GG27" s="2">
        <f t="shared" si="606"/>
        <v>4560</v>
      </c>
      <c r="GH27" s="2">
        <f t="shared" si="606"/>
        <v>3808</v>
      </c>
      <c r="GI27" s="2">
        <f t="shared" si="606"/>
        <v>2720</v>
      </c>
      <c r="GJ27" s="2">
        <f t="shared" si="606"/>
        <v>1840</v>
      </c>
      <c r="GK27" s="2">
        <f t="shared" si="606"/>
        <v>3200</v>
      </c>
      <c r="GL27" s="2">
        <f t="shared" si="606"/>
        <v>4560</v>
      </c>
      <c r="GM27" s="2">
        <f t="shared" si="606"/>
        <v>4560</v>
      </c>
      <c r="GN27" s="2">
        <f t="shared" ref="GN27:IY27" si="607">GN23*$C$8 + $C$9*GN24</f>
        <v>4560</v>
      </c>
      <c r="GO27" s="2">
        <f t="shared" si="607"/>
        <v>3808</v>
      </c>
      <c r="GP27" s="2">
        <f t="shared" si="607"/>
        <v>2720</v>
      </c>
      <c r="GQ27" s="2">
        <f t="shared" si="607"/>
        <v>1840</v>
      </c>
      <c r="GR27" s="2">
        <f t="shared" si="607"/>
        <v>3200</v>
      </c>
      <c r="GS27" s="2">
        <f t="shared" si="607"/>
        <v>4560</v>
      </c>
      <c r="GT27" s="2">
        <f t="shared" si="607"/>
        <v>4560</v>
      </c>
      <c r="GU27" s="2">
        <f t="shared" si="607"/>
        <v>4560</v>
      </c>
      <c r="GV27" s="2">
        <f t="shared" si="607"/>
        <v>3808</v>
      </c>
      <c r="GW27" s="2">
        <f t="shared" si="607"/>
        <v>2720</v>
      </c>
      <c r="GX27" s="2">
        <f t="shared" si="607"/>
        <v>1840</v>
      </c>
      <c r="GY27" s="2">
        <f t="shared" si="607"/>
        <v>3200</v>
      </c>
      <c r="GZ27" s="2">
        <f t="shared" si="607"/>
        <v>4560</v>
      </c>
      <c r="HA27" s="2">
        <f t="shared" si="607"/>
        <v>4560</v>
      </c>
      <c r="HB27" s="2">
        <f t="shared" si="607"/>
        <v>4560</v>
      </c>
      <c r="HC27" s="2">
        <f t="shared" si="607"/>
        <v>3808</v>
      </c>
      <c r="HD27" s="2">
        <f t="shared" si="607"/>
        <v>2720</v>
      </c>
      <c r="HE27" s="2">
        <f t="shared" si="607"/>
        <v>1840</v>
      </c>
      <c r="HF27" s="2">
        <f t="shared" si="607"/>
        <v>3200</v>
      </c>
      <c r="HG27" s="2">
        <f t="shared" si="607"/>
        <v>4560</v>
      </c>
      <c r="HH27" s="2">
        <f t="shared" si="607"/>
        <v>4560</v>
      </c>
      <c r="HI27" s="2">
        <f t="shared" si="607"/>
        <v>4560</v>
      </c>
      <c r="HJ27" s="2">
        <f t="shared" si="607"/>
        <v>3808</v>
      </c>
      <c r="HK27" s="2">
        <f t="shared" si="607"/>
        <v>2720</v>
      </c>
      <c r="HL27" s="2">
        <f t="shared" si="607"/>
        <v>1840</v>
      </c>
      <c r="HM27" s="2">
        <f t="shared" si="607"/>
        <v>3200</v>
      </c>
      <c r="HN27" s="2">
        <f t="shared" si="607"/>
        <v>4560</v>
      </c>
      <c r="HO27" s="2">
        <f t="shared" si="607"/>
        <v>4560</v>
      </c>
      <c r="HP27" s="2">
        <f t="shared" si="607"/>
        <v>4560</v>
      </c>
      <c r="HQ27" s="2">
        <f t="shared" si="607"/>
        <v>3808</v>
      </c>
      <c r="HR27" s="2">
        <f t="shared" si="607"/>
        <v>2720</v>
      </c>
      <c r="HS27" s="2">
        <f t="shared" si="607"/>
        <v>1840</v>
      </c>
      <c r="HT27" s="2">
        <f t="shared" si="607"/>
        <v>3200</v>
      </c>
      <c r="HU27" s="2">
        <f t="shared" si="607"/>
        <v>4560</v>
      </c>
      <c r="HV27" s="2">
        <f t="shared" si="607"/>
        <v>4560</v>
      </c>
      <c r="HW27" s="2">
        <f t="shared" si="607"/>
        <v>4560</v>
      </c>
      <c r="HX27" s="2">
        <f t="shared" si="607"/>
        <v>3808</v>
      </c>
      <c r="HY27" s="2">
        <f t="shared" si="607"/>
        <v>2720</v>
      </c>
      <c r="HZ27" s="2">
        <f t="shared" si="607"/>
        <v>1840</v>
      </c>
      <c r="IA27" s="2">
        <f t="shared" si="607"/>
        <v>3200</v>
      </c>
      <c r="IB27" s="2">
        <f t="shared" si="607"/>
        <v>4560</v>
      </c>
      <c r="IC27" s="2">
        <f t="shared" si="607"/>
        <v>4560</v>
      </c>
      <c r="ID27" s="2">
        <f t="shared" si="607"/>
        <v>4560</v>
      </c>
      <c r="IE27" s="2">
        <f t="shared" si="607"/>
        <v>3808</v>
      </c>
      <c r="IF27" s="2">
        <f t="shared" si="607"/>
        <v>2720</v>
      </c>
      <c r="IG27" s="2">
        <f t="shared" si="607"/>
        <v>1840</v>
      </c>
      <c r="IH27" s="2">
        <f t="shared" si="607"/>
        <v>3200</v>
      </c>
      <c r="II27" s="2">
        <f t="shared" si="607"/>
        <v>4560</v>
      </c>
      <c r="IJ27" s="2">
        <f t="shared" si="607"/>
        <v>4560</v>
      </c>
      <c r="IK27" s="2">
        <f t="shared" si="607"/>
        <v>4560</v>
      </c>
      <c r="IL27" s="2">
        <f t="shared" si="607"/>
        <v>3808</v>
      </c>
      <c r="IM27" s="2">
        <f t="shared" si="607"/>
        <v>2720</v>
      </c>
      <c r="IN27" s="2">
        <f t="shared" si="607"/>
        <v>1840</v>
      </c>
      <c r="IO27" s="2">
        <f t="shared" si="607"/>
        <v>3200</v>
      </c>
      <c r="IP27" s="2">
        <f t="shared" si="607"/>
        <v>4560</v>
      </c>
      <c r="IQ27" s="2">
        <f t="shared" si="607"/>
        <v>4560</v>
      </c>
      <c r="IR27" s="2">
        <f t="shared" si="607"/>
        <v>4560</v>
      </c>
      <c r="IS27" s="2">
        <f t="shared" si="607"/>
        <v>3808</v>
      </c>
      <c r="IT27" s="2">
        <f t="shared" si="607"/>
        <v>2720</v>
      </c>
      <c r="IU27" s="2">
        <f t="shared" si="607"/>
        <v>1840</v>
      </c>
      <c r="IV27" s="2">
        <f t="shared" si="607"/>
        <v>3200</v>
      </c>
      <c r="IW27" s="2">
        <f t="shared" si="607"/>
        <v>4560</v>
      </c>
      <c r="IX27" s="2">
        <f t="shared" si="607"/>
        <v>4560</v>
      </c>
      <c r="IY27" s="2">
        <f t="shared" si="607"/>
        <v>4560</v>
      </c>
      <c r="IZ27" s="2">
        <f t="shared" ref="IZ27:LK27" si="608">IZ23*$C$8 + $C$9*IZ24</f>
        <v>3808</v>
      </c>
      <c r="JA27" s="2">
        <f t="shared" si="608"/>
        <v>2720</v>
      </c>
      <c r="JB27" s="2">
        <f t="shared" si="608"/>
        <v>1840</v>
      </c>
      <c r="JC27" s="2">
        <f t="shared" si="608"/>
        <v>3200</v>
      </c>
      <c r="JD27" s="2">
        <f t="shared" si="608"/>
        <v>4560</v>
      </c>
      <c r="JE27" s="2">
        <f t="shared" si="608"/>
        <v>4560</v>
      </c>
      <c r="JF27" s="2">
        <f t="shared" si="608"/>
        <v>4560</v>
      </c>
      <c r="JG27" s="2">
        <f t="shared" si="608"/>
        <v>3808</v>
      </c>
      <c r="JH27" s="2">
        <f t="shared" si="608"/>
        <v>2720</v>
      </c>
      <c r="JI27" s="2">
        <f t="shared" si="608"/>
        <v>1840</v>
      </c>
      <c r="JJ27" s="2">
        <f t="shared" si="608"/>
        <v>3200</v>
      </c>
      <c r="JK27" s="2">
        <f t="shared" si="608"/>
        <v>4560</v>
      </c>
      <c r="JL27" s="2">
        <f t="shared" si="608"/>
        <v>4560</v>
      </c>
      <c r="JM27" s="2">
        <f t="shared" si="608"/>
        <v>4560</v>
      </c>
      <c r="JN27" s="2">
        <f t="shared" si="608"/>
        <v>3808</v>
      </c>
      <c r="JO27" s="2">
        <f t="shared" si="608"/>
        <v>2720</v>
      </c>
      <c r="JP27" s="2">
        <f t="shared" si="608"/>
        <v>1840</v>
      </c>
      <c r="JQ27" s="2">
        <f t="shared" si="608"/>
        <v>3200</v>
      </c>
      <c r="JR27" s="2">
        <f t="shared" si="608"/>
        <v>4560</v>
      </c>
      <c r="JS27" s="2">
        <f t="shared" si="608"/>
        <v>4560</v>
      </c>
      <c r="JT27" s="2">
        <f t="shared" si="608"/>
        <v>4560</v>
      </c>
      <c r="JU27" s="2">
        <f t="shared" si="608"/>
        <v>3808</v>
      </c>
      <c r="JV27" s="2">
        <f t="shared" si="608"/>
        <v>2720</v>
      </c>
      <c r="JW27" s="2">
        <f t="shared" si="608"/>
        <v>1840</v>
      </c>
      <c r="JX27" s="2">
        <f t="shared" si="608"/>
        <v>3200</v>
      </c>
      <c r="JY27" s="2">
        <f t="shared" si="608"/>
        <v>4560</v>
      </c>
      <c r="JZ27" s="2">
        <f t="shared" si="608"/>
        <v>4560</v>
      </c>
      <c r="KA27" s="2">
        <f t="shared" si="608"/>
        <v>4560</v>
      </c>
      <c r="KB27" s="2">
        <f t="shared" si="608"/>
        <v>3808</v>
      </c>
      <c r="KC27" s="2">
        <f t="shared" si="608"/>
        <v>2720</v>
      </c>
      <c r="KD27" s="2">
        <f t="shared" si="608"/>
        <v>1840</v>
      </c>
      <c r="KE27" s="2">
        <f t="shared" si="608"/>
        <v>3200</v>
      </c>
      <c r="KF27" s="2">
        <f t="shared" si="608"/>
        <v>4560</v>
      </c>
      <c r="KG27" s="2">
        <f t="shared" si="608"/>
        <v>4560</v>
      </c>
      <c r="KH27" s="2">
        <f t="shared" si="608"/>
        <v>4560</v>
      </c>
      <c r="KI27" s="2">
        <f t="shared" si="608"/>
        <v>3808</v>
      </c>
      <c r="KJ27" s="2">
        <f t="shared" si="608"/>
        <v>2720</v>
      </c>
      <c r="KK27" s="2">
        <f t="shared" si="608"/>
        <v>1840</v>
      </c>
      <c r="KL27" s="2">
        <f t="shared" si="608"/>
        <v>3200</v>
      </c>
      <c r="KM27" s="2">
        <f t="shared" si="608"/>
        <v>4560</v>
      </c>
      <c r="KN27" s="2">
        <f t="shared" si="608"/>
        <v>4560</v>
      </c>
      <c r="KO27" s="2">
        <f t="shared" si="608"/>
        <v>4560</v>
      </c>
      <c r="KP27" s="2">
        <f t="shared" si="608"/>
        <v>3808</v>
      </c>
      <c r="KQ27" s="2">
        <f t="shared" si="608"/>
        <v>2720</v>
      </c>
      <c r="KR27" s="2">
        <f t="shared" si="608"/>
        <v>1840</v>
      </c>
      <c r="KS27" s="2">
        <f t="shared" si="608"/>
        <v>3200</v>
      </c>
      <c r="KT27" s="2">
        <f t="shared" si="608"/>
        <v>4560</v>
      </c>
      <c r="KU27" s="2">
        <f t="shared" si="608"/>
        <v>4560</v>
      </c>
      <c r="KV27" s="2">
        <f t="shared" si="608"/>
        <v>4560</v>
      </c>
      <c r="KW27" s="2">
        <f t="shared" si="608"/>
        <v>3808</v>
      </c>
      <c r="KX27" s="2">
        <f t="shared" si="608"/>
        <v>2720</v>
      </c>
      <c r="KY27" s="2">
        <f t="shared" si="608"/>
        <v>1840</v>
      </c>
      <c r="KZ27" s="2">
        <f t="shared" si="608"/>
        <v>3200</v>
      </c>
      <c r="LA27" s="2">
        <f t="shared" si="608"/>
        <v>4560</v>
      </c>
      <c r="LB27" s="2">
        <f t="shared" si="608"/>
        <v>4560</v>
      </c>
      <c r="LC27" s="2">
        <f t="shared" si="608"/>
        <v>4560</v>
      </c>
      <c r="LD27" s="2">
        <f t="shared" si="608"/>
        <v>3808</v>
      </c>
      <c r="LE27" s="2">
        <f t="shared" si="608"/>
        <v>2720</v>
      </c>
      <c r="LF27" s="2">
        <f t="shared" si="608"/>
        <v>1840</v>
      </c>
      <c r="LG27" s="2">
        <f t="shared" si="608"/>
        <v>3200</v>
      </c>
      <c r="LH27" s="2">
        <f t="shared" si="608"/>
        <v>4560</v>
      </c>
      <c r="LI27" s="2">
        <f t="shared" si="608"/>
        <v>4560</v>
      </c>
      <c r="LJ27" s="2">
        <f t="shared" si="608"/>
        <v>4560</v>
      </c>
      <c r="LK27" s="2">
        <f t="shared" si="608"/>
        <v>3808</v>
      </c>
      <c r="LL27" s="2">
        <f t="shared" ref="LL27:NW27" si="609">LL23*$C$8 + $C$9*LL24</f>
        <v>2720</v>
      </c>
      <c r="LM27" s="2">
        <f t="shared" si="609"/>
        <v>1840</v>
      </c>
      <c r="LN27" s="2">
        <f t="shared" si="609"/>
        <v>3200</v>
      </c>
      <c r="LO27" s="2">
        <f t="shared" si="609"/>
        <v>4560</v>
      </c>
      <c r="LP27" s="2">
        <f t="shared" si="609"/>
        <v>4560</v>
      </c>
      <c r="LQ27" s="2">
        <f t="shared" si="609"/>
        <v>4560</v>
      </c>
      <c r="LR27" s="2">
        <f t="shared" si="609"/>
        <v>3808</v>
      </c>
      <c r="LS27" s="2">
        <f t="shared" si="609"/>
        <v>2720</v>
      </c>
      <c r="LT27" s="2">
        <f t="shared" si="609"/>
        <v>1840</v>
      </c>
      <c r="LU27" s="2">
        <f t="shared" si="609"/>
        <v>3200</v>
      </c>
      <c r="LV27" s="2">
        <f t="shared" si="609"/>
        <v>4560</v>
      </c>
      <c r="LW27" s="2">
        <f t="shared" si="609"/>
        <v>4560</v>
      </c>
      <c r="LX27" s="2">
        <f t="shared" si="609"/>
        <v>4560</v>
      </c>
      <c r="LY27" s="2">
        <f t="shared" si="609"/>
        <v>3808</v>
      </c>
      <c r="LZ27" s="2">
        <f t="shared" si="609"/>
        <v>2720</v>
      </c>
      <c r="MA27" s="2">
        <f t="shared" si="609"/>
        <v>1840</v>
      </c>
      <c r="MB27" s="2">
        <f t="shared" si="609"/>
        <v>3200</v>
      </c>
      <c r="MC27" s="2">
        <f t="shared" si="609"/>
        <v>4560</v>
      </c>
      <c r="MD27" s="2">
        <f t="shared" si="609"/>
        <v>4560</v>
      </c>
      <c r="ME27" s="2">
        <f t="shared" si="609"/>
        <v>4560</v>
      </c>
      <c r="MF27" s="2">
        <f t="shared" si="609"/>
        <v>3808</v>
      </c>
      <c r="MG27" s="2">
        <f t="shared" si="609"/>
        <v>2720</v>
      </c>
      <c r="MH27" s="2">
        <f t="shared" si="609"/>
        <v>1840</v>
      </c>
      <c r="MI27" s="2">
        <f t="shared" si="609"/>
        <v>3200</v>
      </c>
      <c r="MJ27" s="2">
        <f t="shared" si="609"/>
        <v>4560</v>
      </c>
      <c r="MK27" s="2">
        <f t="shared" si="609"/>
        <v>4560</v>
      </c>
      <c r="ML27" s="2">
        <f t="shared" si="609"/>
        <v>4560</v>
      </c>
      <c r="MM27" s="2">
        <f t="shared" si="609"/>
        <v>3808</v>
      </c>
      <c r="MN27" s="2">
        <f t="shared" si="609"/>
        <v>2720</v>
      </c>
      <c r="MO27" s="2">
        <f t="shared" si="609"/>
        <v>1840</v>
      </c>
      <c r="MP27" s="2">
        <f t="shared" si="609"/>
        <v>3200</v>
      </c>
      <c r="MQ27" s="2">
        <f t="shared" si="609"/>
        <v>4560</v>
      </c>
      <c r="MR27" s="2">
        <f t="shared" si="609"/>
        <v>4560</v>
      </c>
      <c r="MS27" s="2">
        <f t="shared" si="609"/>
        <v>4560</v>
      </c>
      <c r="MT27" s="2">
        <f t="shared" si="609"/>
        <v>3808</v>
      </c>
      <c r="MU27" s="2">
        <f t="shared" si="609"/>
        <v>2720</v>
      </c>
      <c r="MV27" s="2">
        <f t="shared" si="609"/>
        <v>1840</v>
      </c>
      <c r="MW27" s="2">
        <f t="shared" si="609"/>
        <v>3200</v>
      </c>
      <c r="MX27" s="2">
        <f t="shared" si="609"/>
        <v>4560</v>
      </c>
      <c r="MY27" s="2">
        <f t="shared" si="609"/>
        <v>4560</v>
      </c>
      <c r="MZ27" s="2">
        <f t="shared" si="609"/>
        <v>4560</v>
      </c>
      <c r="NA27" s="2">
        <f t="shared" si="609"/>
        <v>3808</v>
      </c>
      <c r="NB27" s="2">
        <f t="shared" si="609"/>
        <v>2720</v>
      </c>
      <c r="NC27" s="2">
        <f t="shared" si="609"/>
        <v>1840</v>
      </c>
      <c r="ND27" s="2">
        <f t="shared" si="609"/>
        <v>3200</v>
      </c>
      <c r="NE27" s="2">
        <f t="shared" si="609"/>
        <v>4560</v>
      </c>
      <c r="NF27" s="2">
        <f t="shared" si="609"/>
        <v>4560</v>
      </c>
      <c r="NG27" s="2">
        <f t="shared" si="609"/>
        <v>4560</v>
      </c>
      <c r="NH27" s="2">
        <f t="shared" si="609"/>
        <v>3808</v>
      </c>
      <c r="NI27" s="2">
        <f t="shared" si="609"/>
        <v>2720</v>
      </c>
      <c r="NJ27" s="2">
        <f t="shared" si="609"/>
        <v>1840</v>
      </c>
      <c r="NK27" s="2">
        <f t="shared" si="609"/>
        <v>3200</v>
      </c>
      <c r="NL27" s="2">
        <f t="shared" si="609"/>
        <v>4560</v>
      </c>
      <c r="NM27" s="2">
        <f t="shared" si="609"/>
        <v>4560</v>
      </c>
      <c r="NN27" s="2">
        <f t="shared" si="609"/>
        <v>4560</v>
      </c>
      <c r="NO27" s="2">
        <f t="shared" si="609"/>
        <v>3808</v>
      </c>
      <c r="NP27" s="2">
        <f t="shared" si="609"/>
        <v>2720</v>
      </c>
      <c r="NQ27" s="2">
        <f t="shared" si="609"/>
        <v>1840</v>
      </c>
      <c r="NR27" s="2">
        <f t="shared" si="609"/>
        <v>3200</v>
      </c>
      <c r="NS27" s="2">
        <f t="shared" si="609"/>
        <v>4560</v>
      </c>
      <c r="NT27" s="2">
        <f t="shared" si="609"/>
        <v>4560</v>
      </c>
      <c r="NU27" s="2">
        <f t="shared" si="609"/>
        <v>4560</v>
      </c>
      <c r="NV27" s="2">
        <f t="shared" si="609"/>
        <v>3808</v>
      </c>
      <c r="NW27" s="2">
        <f t="shared" si="609"/>
        <v>2720</v>
      </c>
      <c r="NX27" s="2">
        <f t="shared" ref="NX27:QI27" si="610">NX23*$C$8 + $C$9*NX24</f>
        <v>1840</v>
      </c>
      <c r="NY27" s="2">
        <f t="shared" si="610"/>
        <v>3200</v>
      </c>
      <c r="NZ27" s="2">
        <f t="shared" si="610"/>
        <v>4560</v>
      </c>
      <c r="OA27" s="2">
        <f t="shared" si="610"/>
        <v>4560</v>
      </c>
      <c r="OB27" s="2">
        <f t="shared" si="610"/>
        <v>4560</v>
      </c>
      <c r="OC27" s="2">
        <f t="shared" si="610"/>
        <v>3808</v>
      </c>
      <c r="OD27" s="2">
        <f t="shared" si="610"/>
        <v>2720</v>
      </c>
      <c r="OE27" s="2">
        <f t="shared" si="610"/>
        <v>1840</v>
      </c>
      <c r="OF27" s="2">
        <f t="shared" si="610"/>
        <v>3200</v>
      </c>
      <c r="OG27" s="2">
        <f t="shared" si="610"/>
        <v>4560</v>
      </c>
      <c r="OH27" s="2">
        <f t="shared" si="610"/>
        <v>4560</v>
      </c>
      <c r="OI27" s="2">
        <f t="shared" si="610"/>
        <v>4560</v>
      </c>
      <c r="OJ27" s="2">
        <f t="shared" si="610"/>
        <v>3808</v>
      </c>
      <c r="OK27" s="2">
        <f t="shared" si="610"/>
        <v>2720</v>
      </c>
      <c r="OL27" s="2">
        <f t="shared" si="610"/>
        <v>1840</v>
      </c>
      <c r="OM27" s="2">
        <f t="shared" si="610"/>
        <v>3200</v>
      </c>
      <c r="ON27" s="2">
        <f t="shared" si="610"/>
        <v>4560</v>
      </c>
      <c r="OO27" s="2">
        <f t="shared" si="610"/>
        <v>4560</v>
      </c>
      <c r="OP27" s="2">
        <f t="shared" si="610"/>
        <v>4560</v>
      </c>
      <c r="OQ27" s="2">
        <f t="shared" si="610"/>
        <v>3808</v>
      </c>
      <c r="OR27" s="2">
        <f t="shared" si="610"/>
        <v>2720</v>
      </c>
      <c r="OS27" s="2">
        <f t="shared" si="610"/>
        <v>1840</v>
      </c>
      <c r="OT27" s="2">
        <f t="shared" si="610"/>
        <v>3200</v>
      </c>
      <c r="OU27" s="2">
        <f t="shared" si="610"/>
        <v>4560</v>
      </c>
      <c r="OV27" s="2">
        <f t="shared" si="610"/>
        <v>4560</v>
      </c>
      <c r="OW27" s="2">
        <f t="shared" si="610"/>
        <v>4560</v>
      </c>
      <c r="OX27" s="2">
        <f t="shared" si="610"/>
        <v>3808</v>
      </c>
      <c r="OY27" s="2">
        <f t="shared" si="610"/>
        <v>2720</v>
      </c>
      <c r="OZ27" s="2">
        <f t="shared" si="610"/>
        <v>1840</v>
      </c>
      <c r="PA27" s="2">
        <f t="shared" si="610"/>
        <v>3200</v>
      </c>
      <c r="PB27" s="2">
        <f t="shared" si="610"/>
        <v>4560</v>
      </c>
      <c r="PC27" s="2">
        <f t="shared" si="610"/>
        <v>4560</v>
      </c>
      <c r="PD27" s="2">
        <f t="shared" si="610"/>
        <v>4560</v>
      </c>
      <c r="PE27" s="2">
        <f t="shared" si="610"/>
        <v>3808</v>
      </c>
      <c r="PF27" s="2">
        <f t="shared" si="610"/>
        <v>2720</v>
      </c>
      <c r="PG27" s="2">
        <f t="shared" si="610"/>
        <v>1840</v>
      </c>
      <c r="PH27" s="2">
        <f t="shared" si="610"/>
        <v>3200</v>
      </c>
      <c r="PI27" s="2">
        <f t="shared" si="610"/>
        <v>4560</v>
      </c>
      <c r="PJ27" s="2">
        <f t="shared" si="610"/>
        <v>4560</v>
      </c>
      <c r="PK27" s="2">
        <f t="shared" si="610"/>
        <v>4560</v>
      </c>
      <c r="PL27" s="2">
        <f t="shared" si="610"/>
        <v>3808</v>
      </c>
      <c r="PM27" s="2">
        <f t="shared" si="610"/>
        <v>2720</v>
      </c>
      <c r="PN27" s="2">
        <f t="shared" si="610"/>
        <v>1840</v>
      </c>
      <c r="PO27" s="2">
        <f t="shared" si="610"/>
        <v>3200</v>
      </c>
      <c r="PP27" s="2">
        <f t="shared" si="610"/>
        <v>4560</v>
      </c>
      <c r="PQ27" s="2">
        <f t="shared" si="610"/>
        <v>4560</v>
      </c>
      <c r="PR27" s="2">
        <f t="shared" si="610"/>
        <v>4560</v>
      </c>
      <c r="PS27" s="2">
        <f t="shared" si="610"/>
        <v>3808</v>
      </c>
      <c r="PT27" s="2">
        <f t="shared" si="610"/>
        <v>2720</v>
      </c>
      <c r="PU27" s="2">
        <f t="shared" si="610"/>
        <v>1840</v>
      </c>
      <c r="PV27" s="2">
        <f t="shared" si="610"/>
        <v>3200</v>
      </c>
      <c r="PW27" s="2">
        <f t="shared" si="610"/>
        <v>4560</v>
      </c>
      <c r="PX27" s="2">
        <f t="shared" si="610"/>
        <v>4560</v>
      </c>
      <c r="PY27" s="2">
        <f t="shared" si="610"/>
        <v>4560</v>
      </c>
      <c r="PZ27" s="2">
        <f t="shared" si="610"/>
        <v>3808</v>
      </c>
      <c r="QA27" s="2">
        <f t="shared" si="610"/>
        <v>2720</v>
      </c>
      <c r="QB27" s="2">
        <f t="shared" si="610"/>
        <v>1840</v>
      </c>
      <c r="QC27" s="2">
        <f t="shared" si="610"/>
        <v>3200</v>
      </c>
      <c r="QD27" s="2">
        <f t="shared" si="610"/>
        <v>4560</v>
      </c>
      <c r="QE27" s="2">
        <f t="shared" si="610"/>
        <v>4560</v>
      </c>
      <c r="QF27" s="2">
        <f t="shared" si="610"/>
        <v>4560</v>
      </c>
      <c r="QG27" s="2">
        <f t="shared" si="610"/>
        <v>3808</v>
      </c>
      <c r="QH27" s="2">
        <f t="shared" si="610"/>
        <v>2720</v>
      </c>
      <c r="QI27" s="2">
        <f t="shared" si="610"/>
        <v>1840</v>
      </c>
      <c r="QJ27" s="2">
        <f t="shared" ref="QJ27:SU27" si="611">QJ23*$C$8 + $C$9*QJ24</f>
        <v>3200</v>
      </c>
      <c r="QK27" s="2">
        <f t="shared" si="611"/>
        <v>4560</v>
      </c>
      <c r="QL27" s="2">
        <f t="shared" si="611"/>
        <v>4560</v>
      </c>
      <c r="QM27" s="2">
        <f t="shared" si="611"/>
        <v>4560</v>
      </c>
      <c r="QN27" s="2">
        <f t="shared" si="611"/>
        <v>3808</v>
      </c>
      <c r="QO27" s="2">
        <f t="shared" si="611"/>
        <v>2720</v>
      </c>
      <c r="QP27" s="2">
        <f t="shared" si="611"/>
        <v>1840</v>
      </c>
      <c r="QQ27" s="2">
        <f t="shared" si="611"/>
        <v>3200</v>
      </c>
      <c r="QR27" s="2">
        <f t="shared" si="611"/>
        <v>4560</v>
      </c>
      <c r="QS27" s="2">
        <f t="shared" si="611"/>
        <v>4560</v>
      </c>
      <c r="QT27" s="2">
        <f t="shared" si="611"/>
        <v>4560</v>
      </c>
      <c r="QU27" s="2">
        <f t="shared" si="611"/>
        <v>3808</v>
      </c>
      <c r="QV27" s="2">
        <f t="shared" si="611"/>
        <v>2720</v>
      </c>
      <c r="QW27" s="2">
        <f t="shared" si="611"/>
        <v>1840</v>
      </c>
      <c r="QX27" s="2">
        <f t="shared" si="611"/>
        <v>3200</v>
      </c>
      <c r="QY27" s="2">
        <f t="shared" si="611"/>
        <v>4560</v>
      </c>
      <c r="QZ27" s="2">
        <f t="shared" si="611"/>
        <v>4560</v>
      </c>
      <c r="RA27" s="2">
        <f t="shared" si="611"/>
        <v>4560</v>
      </c>
      <c r="RB27" s="2">
        <f t="shared" si="611"/>
        <v>3808</v>
      </c>
      <c r="RC27" s="2">
        <f t="shared" si="611"/>
        <v>2720</v>
      </c>
      <c r="RD27" s="2">
        <f t="shared" si="611"/>
        <v>1840</v>
      </c>
      <c r="RE27" s="2">
        <f t="shared" si="611"/>
        <v>3200</v>
      </c>
      <c r="RF27" s="2">
        <f t="shared" si="611"/>
        <v>4560</v>
      </c>
      <c r="RG27" s="2">
        <f t="shared" si="611"/>
        <v>4560</v>
      </c>
      <c r="RH27" s="2">
        <f t="shared" si="611"/>
        <v>4560</v>
      </c>
      <c r="RI27" s="2">
        <f t="shared" si="611"/>
        <v>3808</v>
      </c>
      <c r="RJ27" s="2">
        <f t="shared" si="611"/>
        <v>2720</v>
      </c>
      <c r="RK27" s="2">
        <f t="shared" si="611"/>
        <v>1840</v>
      </c>
      <c r="RL27" s="2">
        <f t="shared" si="611"/>
        <v>3200</v>
      </c>
      <c r="RM27" s="2">
        <f t="shared" si="611"/>
        <v>4560</v>
      </c>
      <c r="RN27" s="2">
        <f t="shared" si="611"/>
        <v>4560</v>
      </c>
      <c r="RO27" s="2">
        <f t="shared" si="611"/>
        <v>4560</v>
      </c>
      <c r="RP27" s="2">
        <f t="shared" si="611"/>
        <v>3808</v>
      </c>
      <c r="RQ27" s="2">
        <f t="shared" si="611"/>
        <v>2720</v>
      </c>
      <c r="RR27" s="2">
        <f t="shared" si="611"/>
        <v>1840</v>
      </c>
      <c r="RS27" s="2">
        <f t="shared" si="611"/>
        <v>3200</v>
      </c>
      <c r="RT27" s="2">
        <f t="shared" si="611"/>
        <v>4560</v>
      </c>
      <c r="RU27" s="2">
        <f t="shared" si="611"/>
        <v>4560</v>
      </c>
      <c r="RV27" s="2">
        <f t="shared" si="611"/>
        <v>4560</v>
      </c>
      <c r="RW27" s="2">
        <f t="shared" si="611"/>
        <v>3808</v>
      </c>
      <c r="RX27" s="2">
        <f t="shared" si="611"/>
        <v>2720</v>
      </c>
      <c r="RY27" s="2">
        <f t="shared" si="611"/>
        <v>1840</v>
      </c>
      <c r="RZ27" s="2">
        <f t="shared" si="611"/>
        <v>3200</v>
      </c>
      <c r="SA27" s="2">
        <f t="shared" si="611"/>
        <v>4560</v>
      </c>
      <c r="SB27" s="2">
        <f t="shared" si="611"/>
        <v>4560</v>
      </c>
      <c r="SC27" s="2">
        <f t="shared" si="611"/>
        <v>4560</v>
      </c>
      <c r="SD27" s="2">
        <f t="shared" si="611"/>
        <v>3808</v>
      </c>
      <c r="SE27" s="2">
        <f t="shared" si="611"/>
        <v>2720</v>
      </c>
      <c r="SF27" s="2">
        <f t="shared" si="611"/>
        <v>1840</v>
      </c>
      <c r="SG27" s="2">
        <f t="shared" si="611"/>
        <v>3200</v>
      </c>
      <c r="SH27" s="2">
        <f t="shared" si="611"/>
        <v>4560</v>
      </c>
      <c r="SI27" s="2">
        <f t="shared" si="611"/>
        <v>4560</v>
      </c>
      <c r="SJ27" s="2">
        <f t="shared" si="611"/>
        <v>4560</v>
      </c>
      <c r="SK27" s="2">
        <f t="shared" si="611"/>
        <v>3808</v>
      </c>
      <c r="SL27" s="2">
        <f t="shared" si="611"/>
        <v>2720</v>
      </c>
      <c r="SM27" s="2">
        <f t="shared" si="611"/>
        <v>1840</v>
      </c>
      <c r="SN27" s="2">
        <f t="shared" si="611"/>
        <v>3200</v>
      </c>
      <c r="SO27" s="2">
        <f t="shared" si="611"/>
        <v>4560</v>
      </c>
      <c r="SP27" s="2">
        <f t="shared" si="611"/>
        <v>4560</v>
      </c>
      <c r="SQ27" s="2">
        <f t="shared" si="611"/>
        <v>4560</v>
      </c>
      <c r="SR27" s="2">
        <f t="shared" si="611"/>
        <v>3808</v>
      </c>
      <c r="SS27" s="2">
        <f t="shared" si="611"/>
        <v>2720</v>
      </c>
      <c r="ST27" s="2">
        <f t="shared" si="611"/>
        <v>1840</v>
      </c>
      <c r="SU27" s="2">
        <f t="shared" si="611"/>
        <v>3200</v>
      </c>
      <c r="SV27" s="2">
        <f t="shared" ref="SV27:VG27" si="612">SV23*$C$8 + $C$9*SV24</f>
        <v>4560</v>
      </c>
      <c r="SW27" s="2">
        <f t="shared" si="612"/>
        <v>4560</v>
      </c>
      <c r="SX27" s="2">
        <f t="shared" si="612"/>
        <v>4560</v>
      </c>
      <c r="SY27" s="2">
        <f t="shared" si="612"/>
        <v>3808</v>
      </c>
      <c r="SZ27" s="2">
        <f t="shared" si="612"/>
        <v>2720</v>
      </c>
      <c r="TA27" s="2">
        <f t="shared" si="612"/>
        <v>1840</v>
      </c>
      <c r="TB27" s="2">
        <f t="shared" si="612"/>
        <v>3200</v>
      </c>
      <c r="TC27" s="2">
        <f t="shared" si="612"/>
        <v>4560</v>
      </c>
      <c r="TD27" s="2">
        <f t="shared" si="612"/>
        <v>4560</v>
      </c>
      <c r="TE27" s="2">
        <f t="shared" si="612"/>
        <v>4560</v>
      </c>
      <c r="TF27" s="2">
        <f t="shared" si="612"/>
        <v>3808</v>
      </c>
      <c r="TG27" s="2">
        <f t="shared" si="612"/>
        <v>2720</v>
      </c>
      <c r="TH27" s="2">
        <f t="shared" si="612"/>
        <v>1840</v>
      </c>
      <c r="TI27" s="2">
        <f t="shared" si="612"/>
        <v>3200</v>
      </c>
      <c r="TJ27" s="2">
        <f t="shared" si="612"/>
        <v>4560</v>
      </c>
      <c r="TK27" s="2">
        <f t="shared" si="612"/>
        <v>4560</v>
      </c>
      <c r="TL27" s="2">
        <f t="shared" si="612"/>
        <v>4560</v>
      </c>
      <c r="TM27" s="2">
        <f t="shared" si="612"/>
        <v>3808</v>
      </c>
      <c r="TN27" s="2">
        <f t="shared" si="612"/>
        <v>2720</v>
      </c>
      <c r="TO27" s="2">
        <f t="shared" si="612"/>
        <v>1840</v>
      </c>
      <c r="TP27" s="2">
        <f t="shared" si="612"/>
        <v>3200</v>
      </c>
      <c r="TQ27" s="2">
        <f t="shared" si="612"/>
        <v>4560</v>
      </c>
      <c r="TR27" s="2">
        <f t="shared" si="612"/>
        <v>4560</v>
      </c>
      <c r="TS27" s="2">
        <f t="shared" si="612"/>
        <v>4560</v>
      </c>
      <c r="TT27" s="2">
        <f t="shared" si="612"/>
        <v>3808</v>
      </c>
      <c r="TU27" s="2">
        <f t="shared" si="612"/>
        <v>2720</v>
      </c>
      <c r="TV27" s="2">
        <f t="shared" si="612"/>
        <v>1840</v>
      </c>
      <c r="TW27" s="2">
        <f t="shared" si="612"/>
        <v>3200</v>
      </c>
      <c r="TX27" s="2">
        <f t="shared" si="612"/>
        <v>4560</v>
      </c>
      <c r="TY27" s="2">
        <f t="shared" si="612"/>
        <v>4560</v>
      </c>
      <c r="TZ27" s="2">
        <f t="shared" si="612"/>
        <v>4560</v>
      </c>
      <c r="UA27" s="2">
        <f t="shared" si="612"/>
        <v>3808</v>
      </c>
      <c r="UB27" s="2">
        <f t="shared" si="612"/>
        <v>2720</v>
      </c>
      <c r="UC27" s="2">
        <f t="shared" si="612"/>
        <v>1840</v>
      </c>
      <c r="UD27" s="2">
        <f t="shared" si="612"/>
        <v>3200</v>
      </c>
      <c r="UE27" s="2">
        <f t="shared" si="612"/>
        <v>4560</v>
      </c>
      <c r="UF27" s="2">
        <f t="shared" si="612"/>
        <v>4560</v>
      </c>
      <c r="UG27" s="2">
        <f t="shared" si="612"/>
        <v>4560</v>
      </c>
      <c r="UH27" s="2">
        <f t="shared" si="612"/>
        <v>3808</v>
      </c>
      <c r="UI27" s="2">
        <f t="shared" si="612"/>
        <v>2720</v>
      </c>
      <c r="UJ27" s="2">
        <f t="shared" si="612"/>
        <v>1840</v>
      </c>
      <c r="UK27" s="2">
        <f t="shared" si="612"/>
        <v>3200</v>
      </c>
      <c r="UL27" s="2">
        <f t="shared" si="612"/>
        <v>4560</v>
      </c>
      <c r="UM27" s="2">
        <f t="shared" si="612"/>
        <v>4560</v>
      </c>
      <c r="UN27" s="2">
        <f t="shared" si="612"/>
        <v>4560</v>
      </c>
      <c r="UO27" s="2">
        <f t="shared" si="612"/>
        <v>3808</v>
      </c>
      <c r="UP27" s="2">
        <f t="shared" si="612"/>
        <v>2720</v>
      </c>
      <c r="UQ27" s="2">
        <f t="shared" si="612"/>
        <v>1840</v>
      </c>
      <c r="UR27" s="2">
        <f t="shared" si="612"/>
        <v>3200</v>
      </c>
      <c r="US27" s="2">
        <f t="shared" si="612"/>
        <v>4560</v>
      </c>
      <c r="UT27" s="2">
        <f t="shared" si="612"/>
        <v>4560</v>
      </c>
      <c r="UU27" s="2">
        <f t="shared" si="612"/>
        <v>4560</v>
      </c>
      <c r="UV27" s="2">
        <f t="shared" si="612"/>
        <v>3808</v>
      </c>
      <c r="UW27" s="2">
        <f t="shared" si="612"/>
        <v>2720</v>
      </c>
      <c r="UX27" s="2">
        <f t="shared" si="612"/>
        <v>1840</v>
      </c>
      <c r="UY27" s="2">
        <f t="shared" si="612"/>
        <v>3200</v>
      </c>
      <c r="UZ27" s="2">
        <f t="shared" si="612"/>
        <v>4560</v>
      </c>
      <c r="VA27" s="2">
        <f t="shared" si="612"/>
        <v>4560</v>
      </c>
      <c r="VB27" s="2">
        <f t="shared" si="612"/>
        <v>4560</v>
      </c>
      <c r="VC27" s="2">
        <f t="shared" si="612"/>
        <v>3808</v>
      </c>
      <c r="VD27" s="2">
        <f t="shared" si="612"/>
        <v>2720</v>
      </c>
      <c r="VE27" s="2">
        <f t="shared" si="612"/>
        <v>1840</v>
      </c>
      <c r="VF27" s="2">
        <f t="shared" si="612"/>
        <v>3200</v>
      </c>
      <c r="VG27" s="2">
        <f t="shared" si="612"/>
        <v>4560</v>
      </c>
      <c r="VH27" s="2">
        <f t="shared" ref="VH27:XQ27" si="613">VH23*$C$8 + $C$9*VH24</f>
        <v>4560</v>
      </c>
      <c r="VI27" s="2">
        <f t="shared" si="613"/>
        <v>4560</v>
      </c>
      <c r="VJ27" s="2">
        <f t="shared" si="613"/>
        <v>3808</v>
      </c>
      <c r="VK27" s="2">
        <f t="shared" si="613"/>
        <v>2720</v>
      </c>
      <c r="VL27" s="2">
        <f t="shared" si="613"/>
        <v>1840</v>
      </c>
      <c r="VM27" s="2">
        <f t="shared" si="613"/>
        <v>3200</v>
      </c>
      <c r="VN27" s="2">
        <f t="shared" si="613"/>
        <v>4560</v>
      </c>
      <c r="VO27" s="2">
        <f t="shared" si="613"/>
        <v>4560</v>
      </c>
      <c r="VP27" s="2">
        <f t="shared" si="613"/>
        <v>4560</v>
      </c>
      <c r="VQ27" s="2">
        <f t="shared" si="613"/>
        <v>3808</v>
      </c>
      <c r="VR27" s="2">
        <f t="shared" si="613"/>
        <v>2720</v>
      </c>
      <c r="VS27" s="2">
        <f t="shared" si="613"/>
        <v>1840</v>
      </c>
      <c r="VT27" s="2">
        <f t="shared" si="613"/>
        <v>3200</v>
      </c>
      <c r="VU27" s="2">
        <f t="shared" si="613"/>
        <v>4560</v>
      </c>
      <c r="VV27" s="2">
        <f t="shared" si="613"/>
        <v>4560</v>
      </c>
      <c r="VW27" s="2">
        <f t="shared" si="613"/>
        <v>4560</v>
      </c>
      <c r="VX27" s="2">
        <f t="shared" si="613"/>
        <v>3808</v>
      </c>
      <c r="VY27" s="2">
        <f t="shared" si="613"/>
        <v>2720</v>
      </c>
      <c r="VZ27" s="2">
        <f t="shared" si="613"/>
        <v>1840</v>
      </c>
      <c r="WA27" s="2">
        <f t="shared" si="613"/>
        <v>3200</v>
      </c>
      <c r="WB27" s="2">
        <f t="shared" si="613"/>
        <v>4560</v>
      </c>
      <c r="WC27" s="2">
        <f t="shared" si="613"/>
        <v>4560</v>
      </c>
      <c r="WD27" s="2">
        <f t="shared" si="613"/>
        <v>4560</v>
      </c>
      <c r="WE27" s="2">
        <f t="shared" si="613"/>
        <v>3808</v>
      </c>
      <c r="WF27" s="2">
        <f t="shared" si="613"/>
        <v>2720</v>
      </c>
      <c r="WG27" s="2">
        <f t="shared" si="613"/>
        <v>1840</v>
      </c>
      <c r="WH27" s="2">
        <f t="shared" si="613"/>
        <v>3200</v>
      </c>
      <c r="WI27" s="2">
        <f t="shared" si="613"/>
        <v>4560</v>
      </c>
      <c r="WJ27" s="2">
        <f t="shared" si="613"/>
        <v>4560</v>
      </c>
      <c r="WK27" s="2">
        <f t="shared" si="613"/>
        <v>4560</v>
      </c>
      <c r="WL27" s="2">
        <f t="shared" si="613"/>
        <v>3808</v>
      </c>
      <c r="WM27" s="2">
        <f t="shared" si="613"/>
        <v>2720</v>
      </c>
      <c r="WN27" s="2">
        <f t="shared" si="613"/>
        <v>1840</v>
      </c>
      <c r="WO27" s="2">
        <f t="shared" si="613"/>
        <v>3200</v>
      </c>
      <c r="WP27" s="2">
        <f t="shared" si="613"/>
        <v>4560</v>
      </c>
      <c r="WQ27" s="2">
        <f t="shared" si="613"/>
        <v>4560</v>
      </c>
      <c r="WR27" s="2">
        <f t="shared" si="613"/>
        <v>4560</v>
      </c>
      <c r="WS27" s="2">
        <f t="shared" si="613"/>
        <v>3808</v>
      </c>
      <c r="WT27" s="2">
        <f t="shared" si="613"/>
        <v>2720</v>
      </c>
      <c r="WU27" s="2">
        <f t="shared" si="613"/>
        <v>1840</v>
      </c>
      <c r="WV27" s="2">
        <f t="shared" si="613"/>
        <v>3200</v>
      </c>
      <c r="WW27" s="2">
        <f t="shared" si="613"/>
        <v>4560</v>
      </c>
      <c r="WX27" s="2">
        <f t="shared" si="613"/>
        <v>4560</v>
      </c>
      <c r="WY27" s="2">
        <f t="shared" si="613"/>
        <v>4560</v>
      </c>
      <c r="WZ27" s="2">
        <f t="shared" si="613"/>
        <v>3808</v>
      </c>
      <c r="XA27" s="2">
        <f t="shared" si="613"/>
        <v>2720</v>
      </c>
      <c r="XB27" s="2">
        <f t="shared" si="613"/>
        <v>1840</v>
      </c>
      <c r="XC27" s="2">
        <f t="shared" si="613"/>
        <v>3200</v>
      </c>
      <c r="XD27" s="2">
        <f t="shared" si="613"/>
        <v>4560</v>
      </c>
      <c r="XE27" s="2">
        <f t="shared" si="613"/>
        <v>4560</v>
      </c>
      <c r="XF27" s="2">
        <f t="shared" si="613"/>
        <v>4560</v>
      </c>
      <c r="XG27" s="2">
        <f t="shared" si="613"/>
        <v>3808</v>
      </c>
      <c r="XH27" s="2">
        <f t="shared" si="613"/>
        <v>2720</v>
      </c>
      <c r="XI27" s="2">
        <f t="shared" si="613"/>
        <v>1840</v>
      </c>
      <c r="XJ27" s="2">
        <f t="shared" si="613"/>
        <v>3200</v>
      </c>
      <c r="XK27" s="2">
        <f t="shared" si="613"/>
        <v>4560</v>
      </c>
      <c r="XL27" s="2">
        <f t="shared" si="613"/>
        <v>4560</v>
      </c>
      <c r="XM27" s="2">
        <f t="shared" si="613"/>
        <v>4560</v>
      </c>
      <c r="XN27" s="2">
        <f t="shared" si="613"/>
        <v>3808</v>
      </c>
      <c r="XO27" s="2">
        <f t="shared" si="613"/>
        <v>2720</v>
      </c>
      <c r="XP27" s="2">
        <f t="shared" si="613"/>
        <v>1840</v>
      </c>
      <c r="XQ27" s="2">
        <f t="shared" si="613"/>
        <v>3200</v>
      </c>
    </row>
    <row r="28" spans="2:641" x14ac:dyDescent="0.3">
      <c r="B28" s="16" t="s">
        <v>78</v>
      </c>
      <c r="C28" s="2">
        <f>C27+C26+C25</f>
        <v>846.88874999999996</v>
      </c>
      <c r="D28" s="2">
        <f t="shared" ref="D28:BO28" si="614">D27+D26+D25</f>
        <v>1595.4058333333332</v>
      </c>
      <c r="E28" s="2">
        <f t="shared" si="614"/>
        <v>2343.9229166666664</v>
      </c>
      <c r="F28" s="2">
        <f t="shared" si="614"/>
        <v>2343.9229166666664</v>
      </c>
      <c r="G28" s="2">
        <f t="shared" si="614"/>
        <v>2343.9229166666664</v>
      </c>
      <c r="H28" s="2">
        <f t="shared" si="614"/>
        <v>2095.8478333333333</v>
      </c>
      <c r="I28" s="2">
        <f t="shared" si="614"/>
        <v>1497.0341666666666</v>
      </c>
      <c r="J28" s="2">
        <f t="shared" si="614"/>
        <v>945.26041666666652</v>
      </c>
      <c r="K28" s="2">
        <f t="shared" si="614"/>
        <v>1693.7774999999999</v>
      </c>
      <c r="L28" s="2">
        <f t="shared" si="614"/>
        <v>2442.2945833333329</v>
      </c>
      <c r="M28" s="2">
        <f t="shared" si="614"/>
        <v>2442.2945833333329</v>
      </c>
      <c r="N28" s="2">
        <f t="shared" si="614"/>
        <v>2442.2945833333329</v>
      </c>
      <c r="O28" s="2">
        <f t="shared" si="614"/>
        <v>2095.8478333333333</v>
      </c>
      <c r="P28" s="2">
        <f t="shared" si="614"/>
        <v>1497.0341666666666</v>
      </c>
      <c r="Q28" s="2">
        <f t="shared" si="614"/>
        <v>945.26041666666652</v>
      </c>
      <c r="R28" s="2">
        <f t="shared" si="614"/>
        <v>1693.7774999999999</v>
      </c>
      <c r="S28" s="2">
        <f t="shared" si="614"/>
        <v>2442.2945833333329</v>
      </c>
      <c r="T28" s="2">
        <f t="shared" si="614"/>
        <v>2442.2945833333329</v>
      </c>
      <c r="U28" s="2">
        <f t="shared" si="614"/>
        <v>2442.2945833333329</v>
      </c>
      <c r="V28" s="2">
        <f t="shared" si="614"/>
        <v>2095.8478333333333</v>
      </c>
      <c r="W28" s="2">
        <f t="shared" si="614"/>
        <v>1497.0341666666666</v>
      </c>
      <c r="X28" s="2">
        <f t="shared" si="614"/>
        <v>945.26041666666652</v>
      </c>
      <c r="Y28" s="2">
        <f t="shared" si="614"/>
        <v>1693.7774999999999</v>
      </c>
      <c r="Z28" s="2">
        <f t="shared" si="614"/>
        <v>2442.2945833333329</v>
      </c>
      <c r="AA28" s="2">
        <f t="shared" si="614"/>
        <v>2442.2945833333329</v>
      </c>
      <c r="AB28" s="2">
        <f t="shared" si="614"/>
        <v>2442.2945833333329</v>
      </c>
      <c r="AC28" s="2">
        <f t="shared" si="614"/>
        <v>2095.8478333333333</v>
      </c>
      <c r="AD28" s="2">
        <f t="shared" si="614"/>
        <v>1497.0341666666666</v>
      </c>
      <c r="AE28" s="2">
        <f t="shared" si="614"/>
        <v>945.26041666666652</v>
      </c>
      <c r="AF28" s="2">
        <f t="shared" si="614"/>
        <v>1693.7774999999999</v>
      </c>
      <c r="AG28" s="2">
        <f t="shared" si="614"/>
        <v>2442.2945833333329</v>
      </c>
      <c r="AH28" s="2">
        <f t="shared" si="614"/>
        <v>2442.2945833333329</v>
      </c>
      <c r="AI28" s="2">
        <f t="shared" si="614"/>
        <v>2442.2945833333329</v>
      </c>
      <c r="AJ28" s="2">
        <f t="shared" si="614"/>
        <v>2095.8478333333333</v>
      </c>
      <c r="AK28" s="2">
        <f t="shared" si="614"/>
        <v>1497.0341666666666</v>
      </c>
      <c r="AL28" s="2">
        <f t="shared" si="614"/>
        <v>945.26041666666652</v>
      </c>
      <c r="AM28" s="2">
        <f t="shared" si="614"/>
        <v>1693.7774999999999</v>
      </c>
      <c r="AN28" s="2">
        <f t="shared" si="614"/>
        <v>2442.2945833333329</v>
      </c>
      <c r="AO28" s="2">
        <f t="shared" si="614"/>
        <v>2442.2945833333329</v>
      </c>
      <c r="AP28" s="2">
        <f t="shared" si="614"/>
        <v>2442.2945833333329</v>
      </c>
      <c r="AQ28" s="2">
        <f t="shared" si="614"/>
        <v>2095.8478333333333</v>
      </c>
      <c r="AR28" s="2">
        <f t="shared" si="614"/>
        <v>1497.0341666666666</v>
      </c>
      <c r="AS28" s="2">
        <f t="shared" si="614"/>
        <v>945.26041666666652</v>
      </c>
      <c r="AT28" s="2">
        <f t="shared" si="614"/>
        <v>1693.7774999999999</v>
      </c>
      <c r="AU28" s="2">
        <f t="shared" si="614"/>
        <v>2442.2945833333329</v>
      </c>
      <c r="AV28" s="2">
        <f t="shared" si="614"/>
        <v>2442.2945833333329</v>
      </c>
      <c r="AW28" s="2">
        <f t="shared" si="614"/>
        <v>2442.2945833333329</v>
      </c>
      <c r="AX28" s="2">
        <f t="shared" si="614"/>
        <v>2095.8478333333333</v>
      </c>
      <c r="AY28" s="2">
        <f t="shared" si="614"/>
        <v>1497.0341666666666</v>
      </c>
      <c r="AZ28" s="2">
        <f t="shared" si="614"/>
        <v>945.26041666666652</v>
      </c>
      <c r="BA28" s="2">
        <f t="shared" si="614"/>
        <v>1693.7774999999999</v>
      </c>
      <c r="BB28" s="2">
        <f t="shared" si="614"/>
        <v>2442.2945833333329</v>
      </c>
      <c r="BC28" s="2">
        <f t="shared" si="614"/>
        <v>2442.2945833333329</v>
      </c>
      <c r="BD28" s="2">
        <f t="shared" si="614"/>
        <v>2442.2945833333329</v>
      </c>
      <c r="BE28" s="2">
        <f t="shared" si="614"/>
        <v>2095.8478333333333</v>
      </c>
      <c r="BF28" s="2">
        <f t="shared" si="614"/>
        <v>1497.0341666666666</v>
      </c>
      <c r="BG28" s="2">
        <f t="shared" si="614"/>
        <v>945.26041666666652</v>
      </c>
      <c r="BH28" s="2">
        <f t="shared" si="614"/>
        <v>1693.7774999999999</v>
      </c>
      <c r="BI28" s="2">
        <f t="shared" si="614"/>
        <v>2442.2945833333329</v>
      </c>
      <c r="BJ28" s="2">
        <f t="shared" si="614"/>
        <v>2442.2945833333329</v>
      </c>
      <c r="BK28" s="2">
        <f t="shared" si="614"/>
        <v>2442.2945833333329</v>
      </c>
      <c r="BL28" s="2">
        <f t="shared" si="614"/>
        <v>2095.8478333333333</v>
      </c>
      <c r="BM28" s="2">
        <f t="shared" si="614"/>
        <v>1497.0341666666666</v>
      </c>
      <c r="BN28" s="2">
        <f t="shared" si="614"/>
        <v>945.26041666666652</v>
      </c>
      <c r="BO28" s="2">
        <f t="shared" si="614"/>
        <v>1693.7774999999999</v>
      </c>
      <c r="BP28" s="2">
        <f t="shared" ref="BP28:EA28" si="615">BP27+BP26+BP25</f>
        <v>2442.2945833333329</v>
      </c>
      <c r="BQ28" s="2">
        <f t="shared" si="615"/>
        <v>2442.2945833333329</v>
      </c>
      <c r="BR28" s="2">
        <f t="shared" si="615"/>
        <v>2442.2945833333329</v>
      </c>
      <c r="BS28" s="2">
        <f t="shared" si="615"/>
        <v>2095.8478333333333</v>
      </c>
      <c r="BT28" s="2">
        <f t="shared" si="615"/>
        <v>1497.0341666666666</v>
      </c>
      <c r="BU28" s="2">
        <f t="shared" si="615"/>
        <v>945.26041666666652</v>
      </c>
      <c r="BV28" s="2">
        <f t="shared" si="615"/>
        <v>1693.7774999999999</v>
      </c>
      <c r="BW28" s="2">
        <f t="shared" si="615"/>
        <v>2442.2945833333329</v>
      </c>
      <c r="BX28" s="2">
        <f t="shared" si="615"/>
        <v>2442.2945833333329</v>
      </c>
      <c r="BY28" s="2">
        <f t="shared" si="615"/>
        <v>2442.2945833333329</v>
      </c>
      <c r="BZ28" s="2">
        <f t="shared" si="615"/>
        <v>2095.8478333333333</v>
      </c>
      <c r="CA28" s="2">
        <f t="shared" si="615"/>
        <v>1497.0341666666666</v>
      </c>
      <c r="CB28" s="2">
        <f t="shared" si="615"/>
        <v>945.26041666666652</v>
      </c>
      <c r="CC28" s="2">
        <f t="shared" si="615"/>
        <v>1693.7774999999999</v>
      </c>
      <c r="CD28" s="2">
        <f t="shared" si="615"/>
        <v>2442.2945833333329</v>
      </c>
      <c r="CE28" s="2">
        <f t="shared" si="615"/>
        <v>2442.2945833333329</v>
      </c>
      <c r="CF28" s="2">
        <f t="shared" si="615"/>
        <v>2442.2945833333329</v>
      </c>
      <c r="CG28" s="2">
        <f t="shared" si="615"/>
        <v>2095.8478333333333</v>
      </c>
      <c r="CH28" s="2">
        <f t="shared" si="615"/>
        <v>1497.0341666666666</v>
      </c>
      <c r="CI28" s="2">
        <f t="shared" si="615"/>
        <v>945.26041666666652</v>
      </c>
      <c r="CJ28" s="2">
        <f t="shared" si="615"/>
        <v>1693.7774999999999</v>
      </c>
      <c r="CK28" s="2">
        <f t="shared" si="615"/>
        <v>2442.2945833333329</v>
      </c>
      <c r="CL28" s="2">
        <f t="shared" si="615"/>
        <v>2442.2945833333329</v>
      </c>
      <c r="CM28" s="2">
        <f t="shared" si="615"/>
        <v>2442.2945833333329</v>
      </c>
      <c r="CN28" s="2">
        <f t="shared" si="615"/>
        <v>2095.8478333333333</v>
      </c>
      <c r="CO28" s="2">
        <f t="shared" si="615"/>
        <v>1497.0341666666666</v>
      </c>
      <c r="CP28" s="2">
        <f t="shared" si="615"/>
        <v>945.26041666666652</v>
      </c>
      <c r="CQ28" s="2">
        <f t="shared" si="615"/>
        <v>1693.7774999999999</v>
      </c>
      <c r="CR28" s="2">
        <f t="shared" si="615"/>
        <v>2442.2945833333329</v>
      </c>
      <c r="CS28" s="2">
        <f t="shared" si="615"/>
        <v>2442.2945833333329</v>
      </c>
      <c r="CT28" s="2">
        <f t="shared" si="615"/>
        <v>2442.2945833333329</v>
      </c>
      <c r="CU28" s="2">
        <f t="shared" si="615"/>
        <v>2095.8478333333333</v>
      </c>
      <c r="CV28" s="2">
        <f t="shared" si="615"/>
        <v>1497.0341666666666</v>
      </c>
      <c r="CW28" s="2">
        <f t="shared" si="615"/>
        <v>945.26041666666652</v>
      </c>
      <c r="CX28" s="2">
        <f t="shared" si="615"/>
        <v>1693.7774999999999</v>
      </c>
      <c r="CY28" s="2">
        <f t="shared" si="615"/>
        <v>2442.2945833333329</v>
      </c>
      <c r="CZ28" s="2">
        <f t="shared" si="615"/>
        <v>2442.2945833333329</v>
      </c>
      <c r="DA28" s="2">
        <f t="shared" si="615"/>
        <v>2442.2945833333329</v>
      </c>
      <c r="DB28" s="2">
        <f t="shared" si="615"/>
        <v>2095.8478333333333</v>
      </c>
      <c r="DC28" s="2">
        <f t="shared" si="615"/>
        <v>1497.0341666666666</v>
      </c>
      <c r="DD28" s="2">
        <f t="shared" si="615"/>
        <v>945.26041666666652</v>
      </c>
      <c r="DE28" s="2">
        <f t="shared" si="615"/>
        <v>1693.7774999999999</v>
      </c>
      <c r="DF28" s="2">
        <f t="shared" si="615"/>
        <v>2442.2945833333329</v>
      </c>
      <c r="DG28" s="2">
        <f t="shared" si="615"/>
        <v>2442.2945833333329</v>
      </c>
      <c r="DH28" s="2">
        <f t="shared" si="615"/>
        <v>2442.2945833333329</v>
      </c>
      <c r="DI28" s="2">
        <f t="shared" si="615"/>
        <v>2095.8478333333333</v>
      </c>
      <c r="DJ28" s="2">
        <f t="shared" si="615"/>
        <v>1497.0341666666666</v>
      </c>
      <c r="DK28" s="2">
        <f t="shared" si="615"/>
        <v>945.26041666666652</v>
      </c>
      <c r="DL28" s="2">
        <f t="shared" si="615"/>
        <v>1693.7774999999999</v>
      </c>
      <c r="DM28" s="2">
        <f t="shared" si="615"/>
        <v>2442.2945833333329</v>
      </c>
      <c r="DN28" s="2">
        <f t="shared" si="615"/>
        <v>2442.2945833333329</v>
      </c>
      <c r="DO28" s="2">
        <f t="shared" si="615"/>
        <v>2442.2945833333329</v>
      </c>
      <c r="DP28" s="2">
        <f t="shared" si="615"/>
        <v>2095.8478333333333</v>
      </c>
      <c r="DQ28" s="2">
        <f t="shared" si="615"/>
        <v>1497.0341666666666</v>
      </c>
      <c r="DR28" s="2">
        <f t="shared" si="615"/>
        <v>945.26041666666652</v>
      </c>
      <c r="DS28" s="2">
        <f t="shared" si="615"/>
        <v>1693.7774999999999</v>
      </c>
      <c r="DT28" s="2">
        <f t="shared" si="615"/>
        <v>2442.2945833333329</v>
      </c>
      <c r="DU28" s="2">
        <f t="shared" si="615"/>
        <v>2442.2945833333329</v>
      </c>
      <c r="DV28" s="2">
        <f t="shared" si="615"/>
        <v>2442.2945833333329</v>
      </c>
      <c r="DW28" s="2">
        <f t="shared" si="615"/>
        <v>2095.8478333333333</v>
      </c>
      <c r="DX28" s="2">
        <f t="shared" si="615"/>
        <v>1497.0341666666666</v>
      </c>
      <c r="DY28" s="2">
        <f t="shared" si="615"/>
        <v>945.26041666666652</v>
      </c>
      <c r="DZ28" s="2">
        <f t="shared" si="615"/>
        <v>1693.7774999999999</v>
      </c>
      <c r="EA28" s="2">
        <f t="shared" si="615"/>
        <v>2442.2945833333329</v>
      </c>
      <c r="EB28" s="2">
        <f t="shared" ref="EB28:GM28" si="616">EB27+EB26+EB25</f>
        <v>2442.2945833333329</v>
      </c>
      <c r="EC28" s="2">
        <f t="shared" si="616"/>
        <v>2442.2945833333329</v>
      </c>
      <c r="ED28" s="2">
        <f t="shared" si="616"/>
        <v>2095.8478333333333</v>
      </c>
      <c r="EE28" s="2">
        <f t="shared" si="616"/>
        <v>1497.0341666666666</v>
      </c>
      <c r="EF28" s="2">
        <f t="shared" si="616"/>
        <v>945.26041666666652</v>
      </c>
      <c r="EG28" s="2">
        <f t="shared" si="616"/>
        <v>1693.7774999999999</v>
      </c>
      <c r="EH28" s="2">
        <f t="shared" si="616"/>
        <v>2442.2945833333329</v>
      </c>
      <c r="EI28" s="2">
        <f t="shared" si="616"/>
        <v>2442.2945833333329</v>
      </c>
      <c r="EJ28" s="2">
        <f t="shared" si="616"/>
        <v>2442.2945833333329</v>
      </c>
      <c r="EK28" s="2">
        <f t="shared" si="616"/>
        <v>2095.8478333333333</v>
      </c>
      <c r="EL28" s="2">
        <f t="shared" si="616"/>
        <v>1497.0341666666666</v>
      </c>
      <c r="EM28" s="2">
        <f t="shared" si="616"/>
        <v>945.26041666666652</v>
      </c>
      <c r="EN28" s="2">
        <f t="shared" si="616"/>
        <v>1693.7774999999999</v>
      </c>
      <c r="EO28" s="2">
        <f t="shared" si="616"/>
        <v>2442.2945833333329</v>
      </c>
      <c r="EP28" s="2">
        <f t="shared" si="616"/>
        <v>2442.2945833333329</v>
      </c>
      <c r="EQ28" s="2">
        <f t="shared" si="616"/>
        <v>2442.2945833333329</v>
      </c>
      <c r="ER28" s="2">
        <f t="shared" si="616"/>
        <v>2095.8478333333333</v>
      </c>
      <c r="ES28" s="2">
        <f t="shared" si="616"/>
        <v>1497.0341666666666</v>
      </c>
      <c r="ET28" s="2">
        <f t="shared" si="616"/>
        <v>945.26041666666652</v>
      </c>
      <c r="EU28" s="2">
        <f t="shared" si="616"/>
        <v>1693.7774999999999</v>
      </c>
      <c r="EV28" s="2">
        <f t="shared" si="616"/>
        <v>2442.2945833333329</v>
      </c>
      <c r="EW28" s="2">
        <f t="shared" si="616"/>
        <v>2442.2945833333329</v>
      </c>
      <c r="EX28" s="2">
        <f t="shared" si="616"/>
        <v>2442.2945833333329</v>
      </c>
      <c r="EY28" s="2">
        <f t="shared" si="616"/>
        <v>2095.8478333333333</v>
      </c>
      <c r="EZ28" s="2">
        <f t="shared" si="616"/>
        <v>1497.0341666666666</v>
      </c>
      <c r="FA28" s="2">
        <f t="shared" si="616"/>
        <v>945.26041666666652</v>
      </c>
      <c r="FB28" s="2">
        <f t="shared" si="616"/>
        <v>1693.7774999999999</v>
      </c>
      <c r="FC28" s="2">
        <f t="shared" si="616"/>
        <v>2442.2945833333329</v>
      </c>
      <c r="FD28" s="2">
        <f t="shared" si="616"/>
        <v>2442.2945833333329</v>
      </c>
      <c r="FE28" s="2">
        <f t="shared" si="616"/>
        <v>2442.2945833333329</v>
      </c>
      <c r="FF28" s="2">
        <f t="shared" si="616"/>
        <v>2095.8478333333333</v>
      </c>
      <c r="FG28" s="2">
        <f t="shared" si="616"/>
        <v>1497.0341666666666</v>
      </c>
      <c r="FH28" s="2">
        <f t="shared" si="616"/>
        <v>945.26041666666652</v>
      </c>
      <c r="FI28" s="2">
        <f t="shared" si="616"/>
        <v>1693.7774999999999</v>
      </c>
      <c r="FJ28" s="2">
        <f t="shared" si="616"/>
        <v>2442.2945833333329</v>
      </c>
      <c r="FK28" s="2">
        <f t="shared" si="616"/>
        <v>2442.2945833333329</v>
      </c>
      <c r="FL28" s="2">
        <f t="shared" si="616"/>
        <v>2442.2945833333329</v>
      </c>
      <c r="FM28" s="2">
        <f t="shared" si="616"/>
        <v>2095.8478333333333</v>
      </c>
      <c r="FN28" s="2">
        <f t="shared" si="616"/>
        <v>1497.0341666666666</v>
      </c>
      <c r="FO28" s="2">
        <f t="shared" si="616"/>
        <v>945.26041666666652</v>
      </c>
      <c r="FP28" s="2">
        <f t="shared" si="616"/>
        <v>1693.7774999999999</v>
      </c>
      <c r="FQ28" s="2">
        <f t="shared" si="616"/>
        <v>2442.2945833333329</v>
      </c>
      <c r="FR28" s="2">
        <f t="shared" si="616"/>
        <v>2442.2945833333329</v>
      </c>
      <c r="FS28" s="2">
        <f t="shared" si="616"/>
        <v>2442.2945833333329</v>
      </c>
      <c r="FT28" s="2">
        <f t="shared" si="616"/>
        <v>2095.8478333333333</v>
      </c>
      <c r="FU28" s="2">
        <f t="shared" si="616"/>
        <v>1497.0341666666666</v>
      </c>
      <c r="FV28" s="2">
        <f t="shared" si="616"/>
        <v>945.26041666666652</v>
      </c>
      <c r="FW28" s="2">
        <f t="shared" si="616"/>
        <v>1693.7774999999999</v>
      </c>
      <c r="FX28" s="2">
        <f t="shared" si="616"/>
        <v>2442.2945833333329</v>
      </c>
      <c r="FY28" s="2">
        <f t="shared" si="616"/>
        <v>2442.2945833333329</v>
      </c>
      <c r="FZ28" s="2">
        <f t="shared" si="616"/>
        <v>2442.2945833333329</v>
      </c>
      <c r="GA28" s="2">
        <f t="shared" si="616"/>
        <v>2095.8478333333333</v>
      </c>
      <c r="GB28" s="2">
        <f t="shared" si="616"/>
        <v>1497.0341666666666</v>
      </c>
      <c r="GC28" s="2">
        <f t="shared" si="616"/>
        <v>945.26041666666652</v>
      </c>
      <c r="GD28" s="2">
        <f t="shared" si="616"/>
        <v>1693.7774999999999</v>
      </c>
      <c r="GE28" s="2">
        <f t="shared" si="616"/>
        <v>2442.2945833333329</v>
      </c>
      <c r="GF28" s="2">
        <f t="shared" si="616"/>
        <v>2442.2945833333329</v>
      </c>
      <c r="GG28" s="2">
        <f t="shared" si="616"/>
        <v>2442.2945833333329</v>
      </c>
      <c r="GH28" s="2">
        <f t="shared" si="616"/>
        <v>2095.8478333333333</v>
      </c>
      <c r="GI28" s="2">
        <f t="shared" si="616"/>
        <v>1497.0341666666666</v>
      </c>
      <c r="GJ28" s="2">
        <f t="shared" si="616"/>
        <v>945.26041666666652</v>
      </c>
      <c r="GK28" s="2">
        <f t="shared" si="616"/>
        <v>1693.7774999999999</v>
      </c>
      <c r="GL28" s="2">
        <f t="shared" si="616"/>
        <v>2442.2945833333329</v>
      </c>
      <c r="GM28" s="2">
        <f t="shared" si="616"/>
        <v>2442.2945833333329</v>
      </c>
      <c r="GN28" s="2">
        <f t="shared" ref="GN28:IY28" si="617">GN27+GN26+GN25</f>
        <v>2442.2945833333329</v>
      </c>
      <c r="GO28" s="2">
        <f t="shared" si="617"/>
        <v>2095.8478333333333</v>
      </c>
      <c r="GP28" s="2">
        <f t="shared" si="617"/>
        <v>1497.0341666666666</v>
      </c>
      <c r="GQ28" s="2">
        <f t="shared" si="617"/>
        <v>945.26041666666652</v>
      </c>
      <c r="GR28" s="2">
        <f t="shared" si="617"/>
        <v>1693.7774999999999</v>
      </c>
      <c r="GS28" s="2">
        <f t="shared" si="617"/>
        <v>2442.2945833333329</v>
      </c>
      <c r="GT28" s="2">
        <f t="shared" si="617"/>
        <v>2442.2945833333329</v>
      </c>
      <c r="GU28" s="2">
        <f t="shared" si="617"/>
        <v>2442.2945833333329</v>
      </c>
      <c r="GV28" s="2">
        <f t="shared" si="617"/>
        <v>2095.8478333333333</v>
      </c>
      <c r="GW28" s="2">
        <f t="shared" si="617"/>
        <v>1497.0341666666666</v>
      </c>
      <c r="GX28" s="2">
        <f t="shared" si="617"/>
        <v>945.26041666666652</v>
      </c>
      <c r="GY28" s="2">
        <f t="shared" si="617"/>
        <v>1693.7774999999999</v>
      </c>
      <c r="GZ28" s="2">
        <f t="shared" si="617"/>
        <v>2442.2945833333329</v>
      </c>
      <c r="HA28" s="2">
        <f t="shared" si="617"/>
        <v>2442.2945833333329</v>
      </c>
      <c r="HB28" s="2">
        <f t="shared" si="617"/>
        <v>2442.2945833333329</v>
      </c>
      <c r="HC28" s="2">
        <f t="shared" si="617"/>
        <v>2095.8478333333333</v>
      </c>
      <c r="HD28" s="2">
        <f t="shared" si="617"/>
        <v>1497.0341666666666</v>
      </c>
      <c r="HE28" s="2">
        <f t="shared" si="617"/>
        <v>945.26041666666652</v>
      </c>
      <c r="HF28" s="2">
        <f t="shared" si="617"/>
        <v>1693.7774999999999</v>
      </c>
      <c r="HG28" s="2">
        <f t="shared" si="617"/>
        <v>2442.2945833333329</v>
      </c>
      <c r="HH28" s="2">
        <f t="shared" si="617"/>
        <v>2442.2945833333329</v>
      </c>
      <c r="HI28" s="2">
        <f t="shared" si="617"/>
        <v>2442.2945833333329</v>
      </c>
      <c r="HJ28" s="2">
        <f t="shared" si="617"/>
        <v>2095.8478333333333</v>
      </c>
      <c r="HK28" s="2">
        <f t="shared" si="617"/>
        <v>1497.0341666666666</v>
      </c>
      <c r="HL28" s="2">
        <f t="shared" si="617"/>
        <v>945.26041666666652</v>
      </c>
      <c r="HM28" s="2">
        <f t="shared" si="617"/>
        <v>1693.7774999999999</v>
      </c>
      <c r="HN28" s="2">
        <f t="shared" si="617"/>
        <v>2442.2945833333329</v>
      </c>
      <c r="HO28" s="2">
        <f t="shared" si="617"/>
        <v>2442.2945833333329</v>
      </c>
      <c r="HP28" s="2">
        <f t="shared" si="617"/>
        <v>2442.2945833333329</v>
      </c>
      <c r="HQ28" s="2">
        <f t="shared" si="617"/>
        <v>2095.8478333333333</v>
      </c>
      <c r="HR28" s="2">
        <f t="shared" si="617"/>
        <v>1497.0341666666666</v>
      </c>
      <c r="HS28" s="2">
        <f t="shared" si="617"/>
        <v>945.26041666666652</v>
      </c>
      <c r="HT28" s="2">
        <f t="shared" si="617"/>
        <v>1693.7774999999999</v>
      </c>
      <c r="HU28" s="2">
        <f t="shared" si="617"/>
        <v>2442.2945833333329</v>
      </c>
      <c r="HV28" s="2">
        <f t="shared" si="617"/>
        <v>2442.2945833333329</v>
      </c>
      <c r="HW28" s="2">
        <f t="shared" si="617"/>
        <v>2442.2945833333329</v>
      </c>
      <c r="HX28" s="2">
        <f t="shared" si="617"/>
        <v>2095.8478333333333</v>
      </c>
      <c r="HY28" s="2">
        <f t="shared" si="617"/>
        <v>1497.0341666666666</v>
      </c>
      <c r="HZ28" s="2">
        <f t="shared" si="617"/>
        <v>945.26041666666652</v>
      </c>
      <c r="IA28" s="2">
        <f t="shared" si="617"/>
        <v>1693.7774999999999</v>
      </c>
      <c r="IB28" s="2">
        <f t="shared" si="617"/>
        <v>2442.2945833333329</v>
      </c>
      <c r="IC28" s="2">
        <f t="shared" si="617"/>
        <v>2442.2945833333329</v>
      </c>
      <c r="ID28" s="2">
        <f t="shared" si="617"/>
        <v>2442.2945833333329</v>
      </c>
      <c r="IE28" s="2">
        <f t="shared" si="617"/>
        <v>2095.8478333333333</v>
      </c>
      <c r="IF28" s="2">
        <f t="shared" si="617"/>
        <v>1497.0341666666666</v>
      </c>
      <c r="IG28" s="2">
        <f t="shared" si="617"/>
        <v>945.26041666666652</v>
      </c>
      <c r="IH28" s="2">
        <f t="shared" si="617"/>
        <v>1693.7774999999999</v>
      </c>
      <c r="II28" s="2">
        <f t="shared" si="617"/>
        <v>2442.2945833333329</v>
      </c>
      <c r="IJ28" s="2">
        <f t="shared" si="617"/>
        <v>2442.2945833333329</v>
      </c>
      <c r="IK28" s="2">
        <f t="shared" si="617"/>
        <v>2442.2945833333329</v>
      </c>
      <c r="IL28" s="2">
        <f t="shared" si="617"/>
        <v>2095.8478333333333</v>
      </c>
      <c r="IM28" s="2">
        <f t="shared" si="617"/>
        <v>1497.0341666666666</v>
      </c>
      <c r="IN28" s="2">
        <f t="shared" si="617"/>
        <v>945.26041666666652</v>
      </c>
      <c r="IO28" s="2">
        <f t="shared" si="617"/>
        <v>1693.7774999999999</v>
      </c>
      <c r="IP28" s="2">
        <f t="shared" si="617"/>
        <v>2442.2945833333329</v>
      </c>
      <c r="IQ28" s="2">
        <f t="shared" si="617"/>
        <v>2442.2945833333329</v>
      </c>
      <c r="IR28" s="2">
        <f t="shared" si="617"/>
        <v>2442.2945833333329</v>
      </c>
      <c r="IS28" s="2">
        <f t="shared" si="617"/>
        <v>2095.8478333333333</v>
      </c>
      <c r="IT28" s="2">
        <f t="shared" si="617"/>
        <v>1497.0341666666666</v>
      </c>
      <c r="IU28" s="2">
        <f t="shared" si="617"/>
        <v>945.26041666666652</v>
      </c>
      <c r="IV28" s="2">
        <f t="shared" si="617"/>
        <v>1693.7774999999999</v>
      </c>
      <c r="IW28" s="2">
        <f t="shared" si="617"/>
        <v>2442.2945833333329</v>
      </c>
      <c r="IX28" s="2">
        <f t="shared" si="617"/>
        <v>2442.2945833333329</v>
      </c>
      <c r="IY28" s="2">
        <f t="shared" si="617"/>
        <v>2442.2945833333329</v>
      </c>
      <c r="IZ28" s="2">
        <f t="shared" ref="IZ28:LK28" si="618">IZ27+IZ26+IZ25</f>
        <v>2095.8478333333333</v>
      </c>
      <c r="JA28" s="2">
        <f t="shared" si="618"/>
        <v>1497.0341666666666</v>
      </c>
      <c r="JB28" s="2">
        <f t="shared" si="618"/>
        <v>945.26041666666652</v>
      </c>
      <c r="JC28" s="2">
        <f t="shared" si="618"/>
        <v>1693.7774999999999</v>
      </c>
      <c r="JD28" s="2">
        <f t="shared" si="618"/>
        <v>2442.2945833333329</v>
      </c>
      <c r="JE28" s="2">
        <f t="shared" si="618"/>
        <v>2442.2945833333329</v>
      </c>
      <c r="JF28" s="2">
        <f t="shared" si="618"/>
        <v>2442.2945833333329</v>
      </c>
      <c r="JG28" s="2">
        <f t="shared" si="618"/>
        <v>2095.8478333333333</v>
      </c>
      <c r="JH28" s="2">
        <f t="shared" si="618"/>
        <v>1497.0341666666666</v>
      </c>
      <c r="JI28" s="2">
        <f t="shared" si="618"/>
        <v>945.26041666666652</v>
      </c>
      <c r="JJ28" s="2">
        <f t="shared" si="618"/>
        <v>1693.7774999999999</v>
      </c>
      <c r="JK28" s="2">
        <f t="shared" si="618"/>
        <v>2442.2945833333329</v>
      </c>
      <c r="JL28" s="2">
        <f t="shared" si="618"/>
        <v>2442.2945833333329</v>
      </c>
      <c r="JM28" s="2">
        <f t="shared" si="618"/>
        <v>2442.2945833333329</v>
      </c>
      <c r="JN28" s="2">
        <f t="shared" si="618"/>
        <v>2095.8478333333333</v>
      </c>
      <c r="JO28" s="2">
        <f t="shared" si="618"/>
        <v>1497.0341666666666</v>
      </c>
      <c r="JP28" s="2">
        <f t="shared" si="618"/>
        <v>945.26041666666652</v>
      </c>
      <c r="JQ28" s="2">
        <f t="shared" si="618"/>
        <v>1693.7774999999999</v>
      </c>
      <c r="JR28" s="2">
        <f t="shared" si="618"/>
        <v>2442.2945833333329</v>
      </c>
      <c r="JS28" s="2">
        <f t="shared" si="618"/>
        <v>2442.2945833333329</v>
      </c>
      <c r="JT28" s="2">
        <f t="shared" si="618"/>
        <v>2442.2945833333329</v>
      </c>
      <c r="JU28" s="2">
        <f t="shared" si="618"/>
        <v>2095.8478333333333</v>
      </c>
      <c r="JV28" s="2">
        <f t="shared" si="618"/>
        <v>1497.0341666666666</v>
      </c>
      <c r="JW28" s="2">
        <f t="shared" si="618"/>
        <v>945.26041666666652</v>
      </c>
      <c r="JX28" s="2">
        <f t="shared" si="618"/>
        <v>1693.7774999999999</v>
      </c>
      <c r="JY28" s="2">
        <f t="shared" si="618"/>
        <v>2442.2945833333329</v>
      </c>
      <c r="JZ28" s="2">
        <f t="shared" si="618"/>
        <v>2442.2945833333329</v>
      </c>
      <c r="KA28" s="2">
        <f t="shared" si="618"/>
        <v>2442.2945833333329</v>
      </c>
      <c r="KB28" s="2">
        <f t="shared" si="618"/>
        <v>2095.8478333333333</v>
      </c>
      <c r="KC28" s="2">
        <f t="shared" si="618"/>
        <v>1497.0341666666666</v>
      </c>
      <c r="KD28" s="2">
        <f t="shared" si="618"/>
        <v>945.26041666666652</v>
      </c>
      <c r="KE28" s="2">
        <f t="shared" si="618"/>
        <v>1693.7774999999999</v>
      </c>
      <c r="KF28" s="2">
        <f t="shared" si="618"/>
        <v>2442.2945833333329</v>
      </c>
      <c r="KG28" s="2">
        <f t="shared" si="618"/>
        <v>2442.2945833333329</v>
      </c>
      <c r="KH28" s="2">
        <f t="shared" si="618"/>
        <v>2442.2945833333329</v>
      </c>
      <c r="KI28" s="2">
        <f t="shared" si="618"/>
        <v>2095.8478333333333</v>
      </c>
      <c r="KJ28" s="2">
        <f t="shared" si="618"/>
        <v>1497.0341666666666</v>
      </c>
      <c r="KK28" s="2">
        <f t="shared" si="618"/>
        <v>945.26041666666652</v>
      </c>
      <c r="KL28" s="2">
        <f t="shared" si="618"/>
        <v>1693.7774999999999</v>
      </c>
      <c r="KM28" s="2">
        <f t="shared" si="618"/>
        <v>2442.2945833333329</v>
      </c>
      <c r="KN28" s="2">
        <f t="shared" si="618"/>
        <v>2442.2945833333329</v>
      </c>
      <c r="KO28" s="2">
        <f t="shared" si="618"/>
        <v>2442.2945833333329</v>
      </c>
      <c r="KP28" s="2">
        <f t="shared" si="618"/>
        <v>2095.8478333333333</v>
      </c>
      <c r="KQ28" s="2">
        <f t="shared" si="618"/>
        <v>1497.0341666666666</v>
      </c>
      <c r="KR28" s="2">
        <f t="shared" si="618"/>
        <v>945.26041666666652</v>
      </c>
      <c r="KS28" s="2">
        <f t="shared" si="618"/>
        <v>1693.7774999999999</v>
      </c>
      <c r="KT28" s="2">
        <f t="shared" si="618"/>
        <v>2442.2945833333329</v>
      </c>
      <c r="KU28" s="2">
        <f t="shared" si="618"/>
        <v>2442.2945833333329</v>
      </c>
      <c r="KV28" s="2">
        <f t="shared" si="618"/>
        <v>2442.2945833333329</v>
      </c>
      <c r="KW28" s="2">
        <f t="shared" si="618"/>
        <v>2095.8478333333333</v>
      </c>
      <c r="KX28" s="2">
        <f t="shared" si="618"/>
        <v>1497.0341666666666</v>
      </c>
      <c r="KY28" s="2">
        <f t="shared" si="618"/>
        <v>945.26041666666652</v>
      </c>
      <c r="KZ28" s="2">
        <f t="shared" si="618"/>
        <v>1693.7774999999999</v>
      </c>
      <c r="LA28" s="2">
        <f t="shared" si="618"/>
        <v>2442.2945833333329</v>
      </c>
      <c r="LB28" s="2">
        <f t="shared" si="618"/>
        <v>2442.2945833333329</v>
      </c>
      <c r="LC28" s="2">
        <f t="shared" si="618"/>
        <v>2442.2945833333329</v>
      </c>
      <c r="LD28" s="2">
        <f t="shared" si="618"/>
        <v>2095.8478333333333</v>
      </c>
      <c r="LE28" s="2">
        <f t="shared" si="618"/>
        <v>1497.0341666666666</v>
      </c>
      <c r="LF28" s="2">
        <f t="shared" si="618"/>
        <v>945.26041666666652</v>
      </c>
      <c r="LG28" s="2">
        <f t="shared" si="618"/>
        <v>1693.7774999999999</v>
      </c>
      <c r="LH28" s="2">
        <f t="shared" si="618"/>
        <v>2442.2945833333329</v>
      </c>
      <c r="LI28" s="2">
        <f t="shared" si="618"/>
        <v>2442.2945833333329</v>
      </c>
      <c r="LJ28" s="2">
        <f t="shared" si="618"/>
        <v>2442.2945833333329</v>
      </c>
      <c r="LK28" s="2">
        <f t="shared" si="618"/>
        <v>2095.8478333333333</v>
      </c>
      <c r="LL28" s="2">
        <f t="shared" ref="LL28:NW28" si="619">LL27+LL26+LL25</f>
        <v>1497.0341666666666</v>
      </c>
      <c r="LM28" s="2">
        <f t="shared" si="619"/>
        <v>945.26041666666652</v>
      </c>
      <c r="LN28" s="2">
        <f t="shared" si="619"/>
        <v>1693.7774999999999</v>
      </c>
      <c r="LO28" s="2">
        <f t="shared" si="619"/>
        <v>2442.2945833333329</v>
      </c>
      <c r="LP28" s="2">
        <f t="shared" si="619"/>
        <v>2442.2945833333329</v>
      </c>
      <c r="LQ28" s="2">
        <f t="shared" si="619"/>
        <v>2442.2945833333329</v>
      </c>
      <c r="LR28" s="2">
        <f t="shared" si="619"/>
        <v>2095.8478333333333</v>
      </c>
      <c r="LS28" s="2">
        <f t="shared" si="619"/>
        <v>1497.0341666666666</v>
      </c>
      <c r="LT28" s="2">
        <f t="shared" si="619"/>
        <v>945.26041666666652</v>
      </c>
      <c r="LU28" s="2">
        <f t="shared" si="619"/>
        <v>1693.7774999999999</v>
      </c>
      <c r="LV28" s="2">
        <f t="shared" si="619"/>
        <v>2442.2945833333329</v>
      </c>
      <c r="LW28" s="2">
        <f t="shared" si="619"/>
        <v>2442.2945833333329</v>
      </c>
      <c r="LX28" s="2">
        <f t="shared" si="619"/>
        <v>2442.2945833333329</v>
      </c>
      <c r="LY28" s="2">
        <f t="shared" si="619"/>
        <v>2095.8478333333333</v>
      </c>
      <c r="LZ28" s="2">
        <f t="shared" si="619"/>
        <v>1497.0341666666666</v>
      </c>
      <c r="MA28" s="2">
        <f t="shared" si="619"/>
        <v>945.26041666666652</v>
      </c>
      <c r="MB28" s="2">
        <f t="shared" si="619"/>
        <v>1693.7774999999999</v>
      </c>
      <c r="MC28" s="2">
        <f t="shared" si="619"/>
        <v>2442.2945833333329</v>
      </c>
      <c r="MD28" s="2">
        <f t="shared" si="619"/>
        <v>2442.2945833333329</v>
      </c>
      <c r="ME28" s="2">
        <f t="shared" si="619"/>
        <v>2442.2945833333329</v>
      </c>
      <c r="MF28" s="2">
        <f t="shared" si="619"/>
        <v>2095.8478333333333</v>
      </c>
      <c r="MG28" s="2">
        <f t="shared" si="619"/>
        <v>1497.0341666666666</v>
      </c>
      <c r="MH28" s="2">
        <f t="shared" si="619"/>
        <v>945.26041666666652</v>
      </c>
      <c r="MI28" s="2">
        <f t="shared" si="619"/>
        <v>1693.7774999999999</v>
      </c>
      <c r="MJ28" s="2">
        <f t="shared" si="619"/>
        <v>2442.2945833333329</v>
      </c>
      <c r="MK28" s="2">
        <f t="shared" si="619"/>
        <v>2442.2945833333329</v>
      </c>
      <c r="ML28" s="2">
        <f t="shared" si="619"/>
        <v>2442.2945833333329</v>
      </c>
      <c r="MM28" s="2">
        <f t="shared" si="619"/>
        <v>2095.8478333333333</v>
      </c>
      <c r="MN28" s="2">
        <f t="shared" si="619"/>
        <v>1497.0341666666666</v>
      </c>
      <c r="MO28" s="2">
        <f t="shared" si="619"/>
        <v>945.26041666666652</v>
      </c>
      <c r="MP28" s="2">
        <f t="shared" si="619"/>
        <v>1693.7774999999999</v>
      </c>
      <c r="MQ28" s="2">
        <f t="shared" si="619"/>
        <v>2442.2945833333329</v>
      </c>
      <c r="MR28" s="2">
        <f t="shared" si="619"/>
        <v>2442.2945833333329</v>
      </c>
      <c r="MS28" s="2">
        <f t="shared" si="619"/>
        <v>2442.2945833333329</v>
      </c>
      <c r="MT28" s="2">
        <f t="shared" si="619"/>
        <v>2095.8478333333333</v>
      </c>
      <c r="MU28" s="2">
        <f t="shared" si="619"/>
        <v>1497.0341666666666</v>
      </c>
      <c r="MV28" s="2">
        <f t="shared" si="619"/>
        <v>945.26041666666652</v>
      </c>
      <c r="MW28" s="2">
        <f t="shared" si="619"/>
        <v>1693.7774999999999</v>
      </c>
      <c r="MX28" s="2">
        <f t="shared" si="619"/>
        <v>2442.2945833333329</v>
      </c>
      <c r="MY28" s="2">
        <f t="shared" si="619"/>
        <v>2442.2945833333329</v>
      </c>
      <c r="MZ28" s="2">
        <f t="shared" si="619"/>
        <v>2442.2945833333329</v>
      </c>
      <c r="NA28" s="2">
        <f t="shared" si="619"/>
        <v>2095.8478333333333</v>
      </c>
      <c r="NB28" s="2">
        <f t="shared" si="619"/>
        <v>1497.0341666666666</v>
      </c>
      <c r="NC28" s="2">
        <f t="shared" si="619"/>
        <v>945.26041666666652</v>
      </c>
      <c r="ND28" s="2">
        <f t="shared" si="619"/>
        <v>1693.7774999999999</v>
      </c>
      <c r="NE28" s="2">
        <f t="shared" si="619"/>
        <v>2442.2945833333329</v>
      </c>
      <c r="NF28" s="2">
        <f t="shared" si="619"/>
        <v>2442.2945833333329</v>
      </c>
      <c r="NG28" s="2">
        <f t="shared" si="619"/>
        <v>2442.2945833333329</v>
      </c>
      <c r="NH28" s="2">
        <f t="shared" si="619"/>
        <v>2095.8478333333333</v>
      </c>
      <c r="NI28" s="2">
        <f t="shared" si="619"/>
        <v>1497.0341666666666</v>
      </c>
      <c r="NJ28" s="2">
        <f t="shared" si="619"/>
        <v>945.26041666666652</v>
      </c>
      <c r="NK28" s="2">
        <f t="shared" si="619"/>
        <v>1693.7774999999999</v>
      </c>
      <c r="NL28" s="2">
        <f t="shared" si="619"/>
        <v>2442.2945833333329</v>
      </c>
      <c r="NM28" s="2">
        <f t="shared" si="619"/>
        <v>2442.2945833333329</v>
      </c>
      <c r="NN28" s="2">
        <f t="shared" si="619"/>
        <v>2442.2945833333329</v>
      </c>
      <c r="NO28" s="2">
        <f t="shared" si="619"/>
        <v>2095.8478333333333</v>
      </c>
      <c r="NP28" s="2">
        <f t="shared" si="619"/>
        <v>1497.0341666666666</v>
      </c>
      <c r="NQ28" s="2">
        <f t="shared" si="619"/>
        <v>945.26041666666652</v>
      </c>
      <c r="NR28" s="2">
        <f t="shared" si="619"/>
        <v>1693.7774999999999</v>
      </c>
      <c r="NS28" s="2">
        <f t="shared" si="619"/>
        <v>2442.2945833333329</v>
      </c>
      <c r="NT28" s="2">
        <f t="shared" si="619"/>
        <v>2442.2945833333329</v>
      </c>
      <c r="NU28" s="2">
        <f t="shared" si="619"/>
        <v>2442.2945833333329</v>
      </c>
      <c r="NV28" s="2">
        <f t="shared" si="619"/>
        <v>2095.8478333333333</v>
      </c>
      <c r="NW28" s="2">
        <f t="shared" si="619"/>
        <v>1497.0341666666666</v>
      </c>
      <c r="NX28" s="2">
        <f t="shared" ref="NX28:QI28" si="620">NX27+NX26+NX25</f>
        <v>945.26041666666652</v>
      </c>
      <c r="NY28" s="2">
        <f t="shared" si="620"/>
        <v>1693.7774999999999</v>
      </c>
      <c r="NZ28" s="2">
        <f t="shared" si="620"/>
        <v>2442.2945833333329</v>
      </c>
      <c r="OA28" s="2">
        <f t="shared" si="620"/>
        <v>2442.2945833333329</v>
      </c>
      <c r="OB28" s="2">
        <f t="shared" si="620"/>
        <v>2442.2945833333329</v>
      </c>
      <c r="OC28" s="2">
        <f t="shared" si="620"/>
        <v>2095.8478333333333</v>
      </c>
      <c r="OD28" s="2">
        <f t="shared" si="620"/>
        <v>1497.0341666666666</v>
      </c>
      <c r="OE28" s="2">
        <f t="shared" si="620"/>
        <v>945.26041666666652</v>
      </c>
      <c r="OF28" s="2">
        <f t="shared" si="620"/>
        <v>1693.7774999999999</v>
      </c>
      <c r="OG28" s="2">
        <f t="shared" si="620"/>
        <v>2442.2945833333329</v>
      </c>
      <c r="OH28" s="2">
        <f t="shared" si="620"/>
        <v>2442.2945833333329</v>
      </c>
      <c r="OI28" s="2">
        <f t="shared" si="620"/>
        <v>2442.2945833333329</v>
      </c>
      <c r="OJ28" s="2">
        <f t="shared" si="620"/>
        <v>2095.8478333333333</v>
      </c>
      <c r="OK28" s="2">
        <f t="shared" si="620"/>
        <v>1497.0341666666666</v>
      </c>
      <c r="OL28" s="2">
        <f t="shared" si="620"/>
        <v>945.26041666666652</v>
      </c>
      <c r="OM28" s="2">
        <f t="shared" si="620"/>
        <v>1693.7774999999999</v>
      </c>
      <c r="ON28" s="2">
        <f t="shared" si="620"/>
        <v>2442.2945833333329</v>
      </c>
      <c r="OO28" s="2">
        <f t="shared" si="620"/>
        <v>2442.2945833333329</v>
      </c>
      <c r="OP28" s="2">
        <f t="shared" si="620"/>
        <v>2442.2945833333329</v>
      </c>
      <c r="OQ28" s="2">
        <f t="shared" si="620"/>
        <v>2095.8478333333333</v>
      </c>
      <c r="OR28" s="2">
        <f t="shared" si="620"/>
        <v>1497.0341666666666</v>
      </c>
      <c r="OS28" s="2">
        <f t="shared" si="620"/>
        <v>945.26041666666652</v>
      </c>
      <c r="OT28" s="2">
        <f t="shared" si="620"/>
        <v>1693.7774999999999</v>
      </c>
      <c r="OU28" s="2">
        <f t="shared" si="620"/>
        <v>2442.2945833333329</v>
      </c>
      <c r="OV28" s="2">
        <f t="shared" si="620"/>
        <v>2442.2945833333329</v>
      </c>
      <c r="OW28" s="2">
        <f t="shared" si="620"/>
        <v>2442.2945833333329</v>
      </c>
      <c r="OX28" s="2">
        <f t="shared" si="620"/>
        <v>2095.8478333333333</v>
      </c>
      <c r="OY28" s="2">
        <f t="shared" si="620"/>
        <v>1497.0341666666666</v>
      </c>
      <c r="OZ28" s="2">
        <f t="shared" si="620"/>
        <v>945.26041666666652</v>
      </c>
      <c r="PA28" s="2">
        <f t="shared" si="620"/>
        <v>1693.7774999999999</v>
      </c>
      <c r="PB28" s="2">
        <f t="shared" si="620"/>
        <v>2442.2945833333329</v>
      </c>
      <c r="PC28" s="2">
        <f t="shared" si="620"/>
        <v>2442.2945833333329</v>
      </c>
      <c r="PD28" s="2">
        <f t="shared" si="620"/>
        <v>2442.2945833333329</v>
      </c>
      <c r="PE28" s="2">
        <f t="shared" si="620"/>
        <v>2095.8478333333333</v>
      </c>
      <c r="PF28" s="2">
        <f t="shared" si="620"/>
        <v>1497.0341666666666</v>
      </c>
      <c r="PG28" s="2">
        <f t="shared" si="620"/>
        <v>945.26041666666652</v>
      </c>
      <c r="PH28" s="2">
        <f t="shared" si="620"/>
        <v>1693.7774999999999</v>
      </c>
      <c r="PI28" s="2">
        <f t="shared" si="620"/>
        <v>2442.2945833333329</v>
      </c>
      <c r="PJ28" s="2">
        <f t="shared" si="620"/>
        <v>2442.2945833333329</v>
      </c>
      <c r="PK28" s="2">
        <f t="shared" si="620"/>
        <v>2442.2945833333329</v>
      </c>
      <c r="PL28" s="2">
        <f t="shared" si="620"/>
        <v>2095.8478333333333</v>
      </c>
      <c r="PM28" s="2">
        <f t="shared" si="620"/>
        <v>1497.0341666666666</v>
      </c>
      <c r="PN28" s="2">
        <f t="shared" si="620"/>
        <v>945.26041666666652</v>
      </c>
      <c r="PO28" s="2">
        <f t="shared" si="620"/>
        <v>1693.7774999999999</v>
      </c>
      <c r="PP28" s="2">
        <f t="shared" si="620"/>
        <v>2442.2945833333329</v>
      </c>
      <c r="PQ28" s="2">
        <f t="shared" si="620"/>
        <v>2442.2945833333329</v>
      </c>
      <c r="PR28" s="2">
        <f t="shared" si="620"/>
        <v>2442.2945833333329</v>
      </c>
      <c r="PS28" s="2">
        <f t="shared" si="620"/>
        <v>2095.8478333333333</v>
      </c>
      <c r="PT28" s="2">
        <f t="shared" si="620"/>
        <v>1497.0341666666666</v>
      </c>
      <c r="PU28" s="2">
        <f t="shared" si="620"/>
        <v>945.26041666666652</v>
      </c>
      <c r="PV28" s="2">
        <f t="shared" si="620"/>
        <v>1693.7774999999999</v>
      </c>
      <c r="PW28" s="2">
        <f t="shared" si="620"/>
        <v>2442.2945833333329</v>
      </c>
      <c r="PX28" s="2">
        <f t="shared" si="620"/>
        <v>2442.2945833333329</v>
      </c>
      <c r="PY28" s="2">
        <f t="shared" si="620"/>
        <v>2442.2945833333329</v>
      </c>
      <c r="PZ28" s="2">
        <f t="shared" si="620"/>
        <v>2095.8478333333333</v>
      </c>
      <c r="QA28" s="2">
        <f t="shared" si="620"/>
        <v>1497.0341666666666</v>
      </c>
      <c r="QB28" s="2">
        <f t="shared" si="620"/>
        <v>945.26041666666652</v>
      </c>
      <c r="QC28" s="2">
        <f t="shared" si="620"/>
        <v>1693.7774999999999</v>
      </c>
      <c r="QD28" s="2">
        <f t="shared" si="620"/>
        <v>2442.2945833333329</v>
      </c>
      <c r="QE28" s="2">
        <f t="shared" si="620"/>
        <v>2442.2945833333329</v>
      </c>
      <c r="QF28" s="2">
        <f t="shared" si="620"/>
        <v>2442.2945833333329</v>
      </c>
      <c r="QG28" s="2">
        <f t="shared" si="620"/>
        <v>2095.8478333333333</v>
      </c>
      <c r="QH28" s="2">
        <f t="shared" si="620"/>
        <v>1497.0341666666666</v>
      </c>
      <c r="QI28" s="2">
        <f t="shared" si="620"/>
        <v>945.26041666666652</v>
      </c>
      <c r="QJ28" s="2">
        <f t="shared" ref="QJ28:SU28" si="621">QJ27+QJ26+QJ25</f>
        <v>1693.7774999999999</v>
      </c>
      <c r="QK28" s="2">
        <f t="shared" si="621"/>
        <v>2442.2945833333329</v>
      </c>
      <c r="QL28" s="2">
        <f t="shared" si="621"/>
        <v>2442.2945833333329</v>
      </c>
      <c r="QM28" s="2">
        <f t="shared" si="621"/>
        <v>2442.2945833333329</v>
      </c>
      <c r="QN28" s="2">
        <f t="shared" si="621"/>
        <v>2095.8478333333333</v>
      </c>
      <c r="QO28" s="2">
        <f t="shared" si="621"/>
        <v>1497.0341666666666</v>
      </c>
      <c r="QP28" s="2">
        <f t="shared" si="621"/>
        <v>945.26041666666652</v>
      </c>
      <c r="QQ28" s="2">
        <f t="shared" si="621"/>
        <v>1693.7774999999999</v>
      </c>
      <c r="QR28" s="2">
        <f t="shared" si="621"/>
        <v>2442.2945833333329</v>
      </c>
      <c r="QS28" s="2">
        <f t="shared" si="621"/>
        <v>2442.2945833333329</v>
      </c>
      <c r="QT28" s="2">
        <f t="shared" si="621"/>
        <v>2442.2945833333329</v>
      </c>
      <c r="QU28" s="2">
        <f t="shared" si="621"/>
        <v>2095.8478333333333</v>
      </c>
      <c r="QV28" s="2">
        <f t="shared" si="621"/>
        <v>1497.0341666666666</v>
      </c>
      <c r="QW28" s="2">
        <f t="shared" si="621"/>
        <v>945.26041666666652</v>
      </c>
      <c r="QX28" s="2">
        <f t="shared" si="621"/>
        <v>1693.7774999999999</v>
      </c>
      <c r="QY28" s="2">
        <f t="shared" si="621"/>
        <v>2442.2945833333329</v>
      </c>
      <c r="QZ28" s="2">
        <f t="shared" si="621"/>
        <v>2442.2945833333329</v>
      </c>
      <c r="RA28" s="2">
        <f t="shared" si="621"/>
        <v>2442.2945833333329</v>
      </c>
      <c r="RB28" s="2">
        <f t="shared" si="621"/>
        <v>2095.8478333333333</v>
      </c>
      <c r="RC28" s="2">
        <f t="shared" si="621"/>
        <v>1497.0341666666666</v>
      </c>
      <c r="RD28" s="2">
        <f t="shared" si="621"/>
        <v>945.26041666666652</v>
      </c>
      <c r="RE28" s="2">
        <f t="shared" si="621"/>
        <v>1693.7774999999999</v>
      </c>
      <c r="RF28" s="2">
        <f t="shared" si="621"/>
        <v>2442.2945833333329</v>
      </c>
      <c r="RG28" s="2">
        <f t="shared" si="621"/>
        <v>2442.2945833333329</v>
      </c>
      <c r="RH28" s="2">
        <f t="shared" si="621"/>
        <v>2442.2945833333329</v>
      </c>
      <c r="RI28" s="2">
        <f t="shared" si="621"/>
        <v>2095.8478333333333</v>
      </c>
      <c r="RJ28" s="2">
        <f t="shared" si="621"/>
        <v>1497.0341666666666</v>
      </c>
      <c r="RK28" s="2">
        <f t="shared" si="621"/>
        <v>945.26041666666652</v>
      </c>
      <c r="RL28" s="2">
        <f t="shared" si="621"/>
        <v>1693.7774999999999</v>
      </c>
      <c r="RM28" s="2">
        <f t="shared" si="621"/>
        <v>2442.2945833333329</v>
      </c>
      <c r="RN28" s="2">
        <f t="shared" si="621"/>
        <v>2442.2945833333329</v>
      </c>
      <c r="RO28" s="2">
        <f t="shared" si="621"/>
        <v>2442.2945833333329</v>
      </c>
      <c r="RP28" s="2">
        <f t="shared" si="621"/>
        <v>2095.8478333333333</v>
      </c>
      <c r="RQ28" s="2">
        <f t="shared" si="621"/>
        <v>1497.0341666666666</v>
      </c>
      <c r="RR28" s="2">
        <f t="shared" si="621"/>
        <v>945.26041666666652</v>
      </c>
      <c r="RS28" s="2">
        <f t="shared" si="621"/>
        <v>1693.7774999999999</v>
      </c>
      <c r="RT28" s="2">
        <f t="shared" si="621"/>
        <v>2442.2945833333329</v>
      </c>
      <c r="RU28" s="2">
        <f t="shared" si="621"/>
        <v>2442.2945833333329</v>
      </c>
      <c r="RV28" s="2">
        <f t="shared" si="621"/>
        <v>2442.2945833333329</v>
      </c>
      <c r="RW28" s="2">
        <f t="shared" si="621"/>
        <v>2095.8478333333333</v>
      </c>
      <c r="RX28" s="2">
        <f t="shared" si="621"/>
        <v>1497.0341666666666</v>
      </c>
      <c r="RY28" s="2">
        <f t="shared" si="621"/>
        <v>945.26041666666652</v>
      </c>
      <c r="RZ28" s="2">
        <f t="shared" si="621"/>
        <v>1693.7774999999999</v>
      </c>
      <c r="SA28" s="2">
        <f t="shared" si="621"/>
        <v>2442.2945833333329</v>
      </c>
      <c r="SB28" s="2">
        <f t="shared" si="621"/>
        <v>2442.2945833333329</v>
      </c>
      <c r="SC28" s="2">
        <f t="shared" si="621"/>
        <v>2442.2945833333329</v>
      </c>
      <c r="SD28" s="2">
        <f t="shared" si="621"/>
        <v>2095.8478333333333</v>
      </c>
      <c r="SE28" s="2">
        <f t="shared" si="621"/>
        <v>1497.0341666666666</v>
      </c>
      <c r="SF28" s="2">
        <f t="shared" si="621"/>
        <v>945.26041666666652</v>
      </c>
      <c r="SG28" s="2">
        <f t="shared" si="621"/>
        <v>1693.7774999999999</v>
      </c>
      <c r="SH28" s="2">
        <f t="shared" si="621"/>
        <v>2442.2945833333329</v>
      </c>
      <c r="SI28" s="2">
        <f t="shared" si="621"/>
        <v>2442.2945833333329</v>
      </c>
      <c r="SJ28" s="2">
        <f t="shared" si="621"/>
        <v>2442.2945833333329</v>
      </c>
      <c r="SK28" s="2">
        <f t="shared" si="621"/>
        <v>2095.8478333333333</v>
      </c>
      <c r="SL28" s="2">
        <f t="shared" si="621"/>
        <v>1497.0341666666666</v>
      </c>
      <c r="SM28" s="2">
        <f t="shared" si="621"/>
        <v>945.26041666666652</v>
      </c>
      <c r="SN28" s="2">
        <f t="shared" si="621"/>
        <v>1693.7774999999999</v>
      </c>
      <c r="SO28" s="2">
        <f t="shared" si="621"/>
        <v>2442.2945833333329</v>
      </c>
      <c r="SP28" s="2">
        <f t="shared" si="621"/>
        <v>2442.2945833333329</v>
      </c>
      <c r="SQ28" s="2">
        <f t="shared" si="621"/>
        <v>2442.2945833333329</v>
      </c>
      <c r="SR28" s="2">
        <f t="shared" si="621"/>
        <v>2095.8478333333333</v>
      </c>
      <c r="SS28" s="2">
        <f t="shared" si="621"/>
        <v>1497.0341666666666</v>
      </c>
      <c r="ST28" s="2">
        <f t="shared" si="621"/>
        <v>945.26041666666652</v>
      </c>
      <c r="SU28" s="2">
        <f t="shared" si="621"/>
        <v>1693.7774999999999</v>
      </c>
      <c r="SV28" s="2">
        <f t="shared" ref="SV28:VG28" si="622">SV27+SV26+SV25</f>
        <v>2442.2945833333329</v>
      </c>
      <c r="SW28" s="2">
        <f t="shared" si="622"/>
        <v>2442.2945833333329</v>
      </c>
      <c r="SX28" s="2">
        <f t="shared" si="622"/>
        <v>2442.2945833333329</v>
      </c>
      <c r="SY28" s="2">
        <f t="shared" si="622"/>
        <v>2095.8478333333333</v>
      </c>
      <c r="SZ28" s="2">
        <f t="shared" si="622"/>
        <v>1497.0341666666666</v>
      </c>
      <c r="TA28" s="2">
        <f t="shared" si="622"/>
        <v>945.26041666666652</v>
      </c>
      <c r="TB28" s="2">
        <f t="shared" si="622"/>
        <v>1693.7774999999999</v>
      </c>
      <c r="TC28" s="2">
        <f t="shared" si="622"/>
        <v>2442.2945833333329</v>
      </c>
      <c r="TD28" s="2">
        <f t="shared" si="622"/>
        <v>2442.2945833333329</v>
      </c>
      <c r="TE28" s="2">
        <f t="shared" si="622"/>
        <v>2442.2945833333329</v>
      </c>
      <c r="TF28" s="2">
        <f t="shared" si="622"/>
        <v>2095.8478333333333</v>
      </c>
      <c r="TG28" s="2">
        <f t="shared" si="622"/>
        <v>1497.0341666666666</v>
      </c>
      <c r="TH28" s="2">
        <f t="shared" si="622"/>
        <v>945.26041666666652</v>
      </c>
      <c r="TI28" s="2">
        <f t="shared" si="622"/>
        <v>1693.7774999999999</v>
      </c>
      <c r="TJ28" s="2">
        <f t="shared" si="622"/>
        <v>2442.2945833333329</v>
      </c>
      <c r="TK28" s="2">
        <f t="shared" si="622"/>
        <v>2442.2945833333329</v>
      </c>
      <c r="TL28" s="2">
        <f t="shared" si="622"/>
        <v>2442.2945833333329</v>
      </c>
      <c r="TM28" s="2">
        <f t="shared" si="622"/>
        <v>2095.8478333333333</v>
      </c>
      <c r="TN28" s="2">
        <f t="shared" si="622"/>
        <v>1497.0341666666666</v>
      </c>
      <c r="TO28" s="2">
        <f t="shared" si="622"/>
        <v>945.26041666666652</v>
      </c>
      <c r="TP28" s="2">
        <f t="shared" si="622"/>
        <v>1693.7774999999999</v>
      </c>
      <c r="TQ28" s="2">
        <f t="shared" si="622"/>
        <v>2442.2945833333329</v>
      </c>
      <c r="TR28" s="2">
        <f t="shared" si="622"/>
        <v>2442.2945833333329</v>
      </c>
      <c r="TS28" s="2">
        <f t="shared" si="622"/>
        <v>2442.2945833333329</v>
      </c>
      <c r="TT28" s="2">
        <f t="shared" si="622"/>
        <v>2095.8478333333333</v>
      </c>
      <c r="TU28" s="2">
        <f t="shared" si="622"/>
        <v>1497.0341666666666</v>
      </c>
      <c r="TV28" s="2">
        <f t="shared" si="622"/>
        <v>945.26041666666652</v>
      </c>
      <c r="TW28" s="2">
        <f t="shared" si="622"/>
        <v>1693.7774999999999</v>
      </c>
      <c r="TX28" s="2">
        <f t="shared" si="622"/>
        <v>2442.2945833333329</v>
      </c>
      <c r="TY28" s="2">
        <f t="shared" si="622"/>
        <v>2442.2945833333329</v>
      </c>
      <c r="TZ28" s="2">
        <f t="shared" si="622"/>
        <v>2442.2945833333329</v>
      </c>
      <c r="UA28" s="2">
        <f t="shared" si="622"/>
        <v>2095.8478333333333</v>
      </c>
      <c r="UB28" s="2">
        <f t="shared" si="622"/>
        <v>1497.0341666666666</v>
      </c>
      <c r="UC28" s="2">
        <f t="shared" si="622"/>
        <v>945.26041666666652</v>
      </c>
      <c r="UD28" s="2">
        <f t="shared" si="622"/>
        <v>1693.7774999999999</v>
      </c>
      <c r="UE28" s="2">
        <f t="shared" si="622"/>
        <v>2442.2945833333329</v>
      </c>
      <c r="UF28" s="2">
        <f t="shared" si="622"/>
        <v>2442.2945833333329</v>
      </c>
      <c r="UG28" s="2">
        <f t="shared" si="622"/>
        <v>2442.2945833333329</v>
      </c>
      <c r="UH28" s="2">
        <f t="shared" si="622"/>
        <v>2095.8478333333333</v>
      </c>
      <c r="UI28" s="2">
        <f t="shared" si="622"/>
        <v>1497.0341666666666</v>
      </c>
      <c r="UJ28" s="2">
        <f t="shared" si="622"/>
        <v>945.26041666666652</v>
      </c>
      <c r="UK28" s="2">
        <f t="shared" si="622"/>
        <v>1693.7774999999999</v>
      </c>
      <c r="UL28" s="2">
        <f t="shared" si="622"/>
        <v>2442.2945833333329</v>
      </c>
      <c r="UM28" s="2">
        <f t="shared" si="622"/>
        <v>2442.2945833333329</v>
      </c>
      <c r="UN28" s="2">
        <f t="shared" si="622"/>
        <v>2442.2945833333329</v>
      </c>
      <c r="UO28" s="2">
        <f t="shared" si="622"/>
        <v>2095.8478333333333</v>
      </c>
      <c r="UP28" s="2">
        <f t="shared" si="622"/>
        <v>1497.0341666666666</v>
      </c>
      <c r="UQ28" s="2">
        <f t="shared" si="622"/>
        <v>945.26041666666652</v>
      </c>
      <c r="UR28" s="2">
        <f t="shared" si="622"/>
        <v>1693.7774999999999</v>
      </c>
      <c r="US28" s="2">
        <f t="shared" si="622"/>
        <v>2442.2945833333329</v>
      </c>
      <c r="UT28" s="2">
        <f t="shared" si="622"/>
        <v>2442.2945833333329</v>
      </c>
      <c r="UU28" s="2">
        <f t="shared" si="622"/>
        <v>2442.2945833333329</v>
      </c>
      <c r="UV28" s="2">
        <f t="shared" si="622"/>
        <v>2095.8478333333333</v>
      </c>
      <c r="UW28" s="2">
        <f t="shared" si="622"/>
        <v>1497.0341666666666</v>
      </c>
      <c r="UX28" s="2">
        <f t="shared" si="622"/>
        <v>945.26041666666652</v>
      </c>
      <c r="UY28" s="2">
        <f t="shared" si="622"/>
        <v>1693.7774999999999</v>
      </c>
      <c r="UZ28" s="2">
        <f t="shared" si="622"/>
        <v>2442.2945833333329</v>
      </c>
      <c r="VA28" s="2">
        <f t="shared" si="622"/>
        <v>2442.2945833333329</v>
      </c>
      <c r="VB28" s="2">
        <f t="shared" si="622"/>
        <v>2442.2945833333329</v>
      </c>
      <c r="VC28" s="2">
        <f t="shared" si="622"/>
        <v>2095.8478333333333</v>
      </c>
      <c r="VD28" s="2">
        <f t="shared" si="622"/>
        <v>1497.0341666666666</v>
      </c>
      <c r="VE28" s="2">
        <f t="shared" si="622"/>
        <v>945.26041666666652</v>
      </c>
      <c r="VF28" s="2">
        <f t="shared" si="622"/>
        <v>1693.7774999999999</v>
      </c>
      <c r="VG28" s="2">
        <f t="shared" si="622"/>
        <v>2442.2945833333329</v>
      </c>
      <c r="VH28" s="2">
        <f t="shared" ref="VH28:XQ28" si="623">VH27+VH26+VH25</f>
        <v>2442.2945833333329</v>
      </c>
      <c r="VI28" s="2">
        <f t="shared" si="623"/>
        <v>2442.2945833333329</v>
      </c>
      <c r="VJ28" s="2">
        <f t="shared" si="623"/>
        <v>2095.8478333333333</v>
      </c>
      <c r="VK28" s="2">
        <f t="shared" si="623"/>
        <v>1497.0341666666666</v>
      </c>
      <c r="VL28" s="2">
        <f t="shared" si="623"/>
        <v>945.26041666666652</v>
      </c>
      <c r="VM28" s="2">
        <f t="shared" si="623"/>
        <v>1693.7774999999999</v>
      </c>
      <c r="VN28" s="2">
        <f t="shared" si="623"/>
        <v>2442.2945833333329</v>
      </c>
      <c r="VO28" s="2">
        <f t="shared" si="623"/>
        <v>2442.2945833333329</v>
      </c>
      <c r="VP28" s="2">
        <f t="shared" si="623"/>
        <v>2442.2945833333329</v>
      </c>
      <c r="VQ28" s="2">
        <f t="shared" si="623"/>
        <v>2095.8478333333333</v>
      </c>
      <c r="VR28" s="2">
        <f t="shared" si="623"/>
        <v>1497.0341666666666</v>
      </c>
      <c r="VS28" s="2">
        <f t="shared" si="623"/>
        <v>945.26041666666652</v>
      </c>
      <c r="VT28" s="2">
        <f t="shared" si="623"/>
        <v>1693.7774999999999</v>
      </c>
      <c r="VU28" s="2">
        <f t="shared" si="623"/>
        <v>2442.2945833333329</v>
      </c>
      <c r="VV28" s="2">
        <f t="shared" si="623"/>
        <v>2442.2945833333329</v>
      </c>
      <c r="VW28" s="2">
        <f t="shared" si="623"/>
        <v>2442.2945833333329</v>
      </c>
      <c r="VX28" s="2">
        <f t="shared" si="623"/>
        <v>2095.8478333333333</v>
      </c>
      <c r="VY28" s="2">
        <f t="shared" si="623"/>
        <v>1497.0341666666666</v>
      </c>
      <c r="VZ28" s="2">
        <f t="shared" si="623"/>
        <v>945.26041666666652</v>
      </c>
      <c r="WA28" s="2">
        <f t="shared" si="623"/>
        <v>1693.7774999999999</v>
      </c>
      <c r="WB28" s="2">
        <f t="shared" si="623"/>
        <v>2442.2945833333329</v>
      </c>
      <c r="WC28" s="2">
        <f t="shared" si="623"/>
        <v>2442.2945833333329</v>
      </c>
      <c r="WD28" s="2">
        <f t="shared" si="623"/>
        <v>2442.2945833333329</v>
      </c>
      <c r="WE28" s="2">
        <f t="shared" si="623"/>
        <v>2095.8478333333333</v>
      </c>
      <c r="WF28" s="2">
        <f t="shared" si="623"/>
        <v>1497.0341666666666</v>
      </c>
      <c r="WG28" s="2">
        <f t="shared" si="623"/>
        <v>945.26041666666652</v>
      </c>
      <c r="WH28" s="2">
        <f t="shared" si="623"/>
        <v>1693.7774999999999</v>
      </c>
      <c r="WI28" s="2">
        <f t="shared" si="623"/>
        <v>2442.2945833333329</v>
      </c>
      <c r="WJ28" s="2">
        <f t="shared" si="623"/>
        <v>2442.2945833333329</v>
      </c>
      <c r="WK28" s="2">
        <f t="shared" si="623"/>
        <v>2442.2945833333329</v>
      </c>
      <c r="WL28" s="2">
        <f t="shared" si="623"/>
        <v>2095.8478333333333</v>
      </c>
      <c r="WM28" s="2">
        <f t="shared" si="623"/>
        <v>1497.0341666666666</v>
      </c>
      <c r="WN28" s="2">
        <f t="shared" si="623"/>
        <v>945.26041666666652</v>
      </c>
      <c r="WO28" s="2">
        <f t="shared" si="623"/>
        <v>1693.7774999999999</v>
      </c>
      <c r="WP28" s="2">
        <f t="shared" si="623"/>
        <v>2442.2945833333329</v>
      </c>
      <c r="WQ28" s="2">
        <f t="shared" si="623"/>
        <v>2442.2945833333329</v>
      </c>
      <c r="WR28" s="2">
        <f t="shared" si="623"/>
        <v>2442.2945833333329</v>
      </c>
      <c r="WS28" s="2">
        <f t="shared" si="623"/>
        <v>2095.8478333333333</v>
      </c>
      <c r="WT28" s="2">
        <f t="shared" si="623"/>
        <v>1497.0341666666666</v>
      </c>
      <c r="WU28" s="2">
        <f t="shared" si="623"/>
        <v>945.26041666666652</v>
      </c>
      <c r="WV28" s="2">
        <f t="shared" si="623"/>
        <v>1693.7774999999999</v>
      </c>
      <c r="WW28" s="2">
        <f t="shared" si="623"/>
        <v>2442.2945833333329</v>
      </c>
      <c r="WX28" s="2">
        <f t="shared" si="623"/>
        <v>2442.2945833333329</v>
      </c>
      <c r="WY28" s="2">
        <f t="shared" si="623"/>
        <v>2442.2945833333329</v>
      </c>
      <c r="WZ28" s="2">
        <f t="shared" si="623"/>
        <v>2095.8478333333333</v>
      </c>
      <c r="XA28" s="2">
        <f t="shared" si="623"/>
        <v>1497.0341666666666</v>
      </c>
      <c r="XB28" s="2">
        <f t="shared" si="623"/>
        <v>945.26041666666652</v>
      </c>
      <c r="XC28" s="2">
        <f t="shared" si="623"/>
        <v>1693.7774999999999</v>
      </c>
      <c r="XD28" s="2">
        <f t="shared" si="623"/>
        <v>2442.2945833333329</v>
      </c>
      <c r="XE28" s="2">
        <f t="shared" si="623"/>
        <v>2442.2945833333329</v>
      </c>
      <c r="XF28" s="2">
        <f t="shared" si="623"/>
        <v>2442.2945833333329</v>
      </c>
      <c r="XG28" s="2">
        <f t="shared" si="623"/>
        <v>2095.8478333333333</v>
      </c>
      <c r="XH28" s="2">
        <f t="shared" si="623"/>
        <v>1497.0341666666666</v>
      </c>
      <c r="XI28" s="2">
        <f t="shared" si="623"/>
        <v>945.26041666666652</v>
      </c>
      <c r="XJ28" s="2">
        <f t="shared" si="623"/>
        <v>1693.7774999999999</v>
      </c>
      <c r="XK28" s="2">
        <f t="shared" si="623"/>
        <v>2442.2945833333329</v>
      </c>
      <c r="XL28" s="2">
        <f t="shared" si="623"/>
        <v>2442.2945833333329</v>
      </c>
      <c r="XM28" s="2">
        <f t="shared" si="623"/>
        <v>2442.2945833333329</v>
      </c>
      <c r="XN28" s="2">
        <f t="shared" si="623"/>
        <v>2095.8478333333333</v>
      </c>
      <c r="XO28" s="2">
        <f t="shared" si="623"/>
        <v>1497.0341666666666</v>
      </c>
      <c r="XP28" s="2">
        <f t="shared" si="623"/>
        <v>945.26041666666652</v>
      </c>
      <c r="XQ28" s="2">
        <f t="shared" si="623"/>
        <v>1693.7774999999999</v>
      </c>
    </row>
    <row r="29" spans="2:641" x14ac:dyDescent="0.3">
      <c r="B29" s="1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</row>
    <row r="30" spans="2:641" x14ac:dyDescent="0.3">
      <c r="B30" s="1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</row>
    <row r="31" spans="2:641" x14ac:dyDescent="0.3">
      <c r="B31" s="1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</row>
    <row r="32" spans="2:641" x14ac:dyDescent="0.3">
      <c r="B32" s="1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</row>
    <row r="33" spans="1:23" x14ac:dyDescent="0.3">
      <c r="B33" s="29" t="s">
        <v>106</v>
      </c>
      <c r="C33" s="23"/>
      <c r="D33" s="6"/>
    </row>
    <row r="34" spans="1:23" x14ac:dyDescent="0.3">
      <c r="B34" t="s">
        <v>85</v>
      </c>
      <c r="C34" s="3">
        <v>45046</v>
      </c>
      <c r="D34" s="3">
        <v>45077</v>
      </c>
      <c r="E34" s="3">
        <v>45107</v>
      </c>
      <c r="F34" s="3">
        <v>45138</v>
      </c>
      <c r="G34" s="3">
        <v>45169</v>
      </c>
      <c r="H34" s="3">
        <v>45199</v>
      </c>
      <c r="I34" s="3">
        <v>45230</v>
      </c>
      <c r="J34" s="3">
        <v>45260</v>
      </c>
      <c r="K34" s="3">
        <v>45291</v>
      </c>
      <c r="L34" s="3">
        <v>45322</v>
      </c>
      <c r="M34" s="3">
        <v>45351</v>
      </c>
      <c r="N34" s="3">
        <v>45382</v>
      </c>
      <c r="O34" s="3">
        <v>45412</v>
      </c>
      <c r="P34" s="3">
        <v>45443</v>
      </c>
      <c r="Q34" s="3">
        <v>45473</v>
      </c>
      <c r="R34" s="3">
        <v>45504</v>
      </c>
      <c r="S34" s="3">
        <v>45535</v>
      </c>
      <c r="T34" s="3">
        <v>45565</v>
      </c>
      <c r="U34" s="3">
        <v>45596</v>
      </c>
      <c r="V34" s="3">
        <v>45626</v>
      </c>
      <c r="W34" s="3">
        <v>45657</v>
      </c>
    </row>
    <row r="35" spans="1:23" x14ac:dyDescent="0.3">
      <c r="B35" t="s">
        <v>49</v>
      </c>
      <c r="C35" s="4">
        <f>SUMIF('Coffee and food'!$C$18:$XQ$18,"="&amp;'Coffee and food'!C34,'Coffee and food'!$C$23:$XQ$23)</f>
        <v>2856</v>
      </c>
      <c r="D35" s="4">
        <f>SUMIF('Coffee and food'!$C$18:$XQ$18,"="&amp;'Coffee and food'!D34,'Coffee and food'!$C$23:$XQ$23)</f>
        <v>3111</v>
      </c>
      <c r="E35" s="4">
        <f>SUMIF('Coffee and food'!$C$18:$XQ$18,"="&amp;'Coffee and food'!E34,'Coffee and food'!$C$23:$XQ$23)</f>
        <v>3111</v>
      </c>
      <c r="F35" s="4">
        <f>SUMIF('Coffee and food'!$C$18:$XQ$18,"="&amp;'Coffee and food'!F34,'Coffee and food'!$C$23:$XQ$23)</f>
        <v>3102.5</v>
      </c>
      <c r="G35" s="4">
        <f>SUMIF('Coffee and food'!$C$18:$XQ$18,"="&amp;'Coffee and food'!G34,'Coffee and food'!$C$23:$XQ$23)</f>
        <v>3196</v>
      </c>
      <c r="H35" s="4">
        <f>SUMIF('Coffee and food'!$C$18:$XQ$18,"="&amp;'Coffee and food'!H34,'Coffee and food'!$C$23:$XQ$23)</f>
        <v>3102.5</v>
      </c>
      <c r="I35" s="4">
        <f>SUMIF('Coffee and food'!$C$18:$XQ$18,"="&amp;'Coffee and food'!I34,'Coffee and food'!$C$23:$XQ$23)</f>
        <v>3068.5</v>
      </c>
      <c r="J35" s="4">
        <f>SUMIF('Coffee and food'!$C$18:$XQ$18,"="&amp;'Coffee and food'!J34,'Coffee and food'!$C$23:$XQ$23)</f>
        <v>3111</v>
      </c>
      <c r="K35" s="4">
        <f>SUMIF('Coffee and food'!$C$18:$XQ$18,"="&amp;'Coffee and food'!K34,'Coffee and food'!$C$23:$XQ$23)</f>
        <v>3187.5</v>
      </c>
      <c r="L35" s="4">
        <f>SUMIF('Coffee and food'!$C$18:$XQ$18,"="&amp;'Coffee and food'!L34,'Coffee and food'!$C$23:$XQ$23)</f>
        <v>3111</v>
      </c>
      <c r="M35" s="4">
        <f>SUMIF('Coffee and food'!$C$18:$XQ$18,"="&amp;'Coffee and food'!M34,'Coffee and food'!$C$23:$XQ$23)</f>
        <v>2983.5</v>
      </c>
      <c r="N35" s="4">
        <f>SUMIF('Coffee and food'!$C$18:$XQ$18,"="&amp;'Coffee and food'!N34,'Coffee and food'!$C$23:$XQ$23)</f>
        <v>3187.5</v>
      </c>
      <c r="O35" s="4">
        <f>SUMIF('Coffee and food'!$C$18:$XQ$18,"="&amp;'Coffee and food'!O34,'Coffee and food'!$C$23:$XQ$23)</f>
        <v>2983.5</v>
      </c>
      <c r="P35" s="4">
        <f>SUMIF('Coffee and food'!$C$18:$XQ$18,"="&amp;'Coffee and food'!P34,'Coffee and food'!$C$23:$XQ$23)</f>
        <v>3238.5</v>
      </c>
      <c r="Q35" s="4">
        <f>SUMIF('Coffee and food'!$C$18:$XQ$18,"="&amp;'Coffee and food'!Q34,'Coffee and food'!$C$23:$XQ$23)</f>
        <v>3060</v>
      </c>
      <c r="R35" s="4">
        <f>SUMIF('Coffee and food'!$C$18:$XQ$18,"="&amp;'Coffee and food'!R34,'Coffee and food'!$C$23:$XQ$23)</f>
        <v>3111</v>
      </c>
      <c r="S35" s="4">
        <f>SUMIF('Coffee and food'!$C$18:$XQ$18,"="&amp;'Coffee and food'!S34,'Coffee and food'!$C$23:$XQ$23)</f>
        <v>3230</v>
      </c>
      <c r="T35" s="4">
        <f>SUMIF('Coffee and food'!$C$18:$XQ$18,"="&amp;'Coffee and food'!T34,'Coffee and food'!$C$23:$XQ$23)</f>
        <v>2983.5</v>
      </c>
      <c r="U35" s="4">
        <f>SUMIF('Coffee and food'!$C$18:$XQ$18,"="&amp;'Coffee and food'!U34,'Coffee and food'!$C$23:$XQ$23)</f>
        <v>3196</v>
      </c>
      <c r="V35" s="4">
        <f>SUMIF('Coffee and food'!$C$18:$XQ$18,"="&amp;'Coffee and food'!V34,'Coffee and food'!$C$23:$XQ$23)</f>
        <v>3102.5</v>
      </c>
      <c r="W35" s="4">
        <f>SUMIF('Coffee and food'!$C$18:$XQ$18,"="&amp;'Coffee and food'!W34,'Coffee and food'!$C$23:$XQ$23)</f>
        <v>3068.5</v>
      </c>
    </row>
    <row r="36" spans="1:23" x14ac:dyDescent="0.3">
      <c r="B36" t="s">
        <v>86</v>
      </c>
      <c r="C36" s="4">
        <f t="shared" ref="C36:W36" si="624">C35/30</f>
        <v>95.2</v>
      </c>
      <c r="D36" s="4">
        <f t="shared" si="624"/>
        <v>103.7</v>
      </c>
      <c r="E36" s="4">
        <f t="shared" si="624"/>
        <v>103.7</v>
      </c>
      <c r="F36" s="4">
        <f t="shared" si="624"/>
        <v>103.41666666666667</v>
      </c>
      <c r="G36" s="4">
        <f t="shared" si="624"/>
        <v>106.53333333333333</v>
      </c>
      <c r="H36" s="4">
        <f t="shared" si="624"/>
        <v>103.41666666666667</v>
      </c>
      <c r="I36" s="4">
        <f t="shared" si="624"/>
        <v>102.28333333333333</v>
      </c>
      <c r="J36" s="4">
        <f t="shared" si="624"/>
        <v>103.7</v>
      </c>
      <c r="K36" s="4">
        <f t="shared" si="624"/>
        <v>106.25</v>
      </c>
      <c r="L36" s="4">
        <f t="shared" si="624"/>
        <v>103.7</v>
      </c>
      <c r="M36" s="4">
        <f t="shared" si="624"/>
        <v>99.45</v>
      </c>
      <c r="N36" s="4">
        <f t="shared" si="624"/>
        <v>106.25</v>
      </c>
      <c r="O36" s="4">
        <f t="shared" si="624"/>
        <v>99.45</v>
      </c>
      <c r="P36" s="4">
        <f t="shared" si="624"/>
        <v>107.95</v>
      </c>
      <c r="Q36" s="4">
        <f t="shared" si="624"/>
        <v>102</v>
      </c>
      <c r="R36" s="4">
        <f t="shared" si="624"/>
        <v>103.7</v>
      </c>
      <c r="S36" s="4">
        <f t="shared" si="624"/>
        <v>107.66666666666667</v>
      </c>
      <c r="T36" s="4">
        <f t="shared" si="624"/>
        <v>99.45</v>
      </c>
      <c r="U36" s="4">
        <f t="shared" si="624"/>
        <v>106.53333333333333</v>
      </c>
      <c r="V36" s="4">
        <f t="shared" si="624"/>
        <v>103.41666666666667</v>
      </c>
      <c r="W36" s="4">
        <f t="shared" si="624"/>
        <v>102.28333333333333</v>
      </c>
    </row>
    <row r="37" spans="1:23" x14ac:dyDescent="0.3">
      <c r="B37" s="16" t="str">
        <f>B25</f>
        <v>Cost of coffee</v>
      </c>
      <c r="C37" s="4">
        <f>SUMIF('Coffee and food'!$C$18:$XQ$18,"="&amp;'Coffee and food'!C34,'Coffee and food'!$C$25:$XQ$25)</f>
        <v>-45406.043666666665</v>
      </c>
      <c r="D37" s="4">
        <f>SUMIF('Coffee and food'!$C$18:$XQ$18,"="&amp;'Coffee and food'!D34,'Coffee and food'!$C$25:$XQ$25)</f>
        <v>-50575.477833333345</v>
      </c>
      <c r="E37" s="4">
        <f>SUMIF('Coffee and food'!$C$18:$XQ$18,"="&amp;'Coffee and food'!E34,'Coffee and food'!$C$25:$XQ$25)</f>
        <v>-50292.221166666655</v>
      </c>
      <c r="F37" s="4">
        <f>SUMIF('Coffee and food'!$C$18:$XQ$18,"="&amp;'Coffee and food'!F34,'Coffee and food'!$C$25:$XQ$25)</f>
        <v>-49888.580416666671</v>
      </c>
      <c r="G37" s="4">
        <f>SUMIF('Coffee and food'!$C$18:$XQ$18,"="&amp;'Coffee and food'!G34,'Coffee and food'!$C$25:$XQ$25)</f>
        <v>-51779.318666666666</v>
      </c>
      <c r="H37" s="4">
        <f>SUMIF('Coffee and food'!$C$18:$XQ$18,"="&amp;'Coffee and food'!H34,'Coffee and food'!$C$25:$XQ$25)</f>
        <v>-49888.580416666664</v>
      </c>
      <c r="I37" s="4">
        <f>SUMIF('Coffee and food'!$C$18:$XQ$18,"="&amp;'Coffee and food'!I34,'Coffee and food'!$C$25:$XQ$25)</f>
        <v>-49690.300750000009</v>
      </c>
      <c r="J37" s="4">
        <f>SUMIF('Coffee and food'!$C$18:$XQ$18,"="&amp;'Coffee and food'!J34,'Coffee and food'!$C$25:$XQ$25)</f>
        <v>-50292.221166666663</v>
      </c>
      <c r="K37" s="4">
        <f>SUMIF('Coffee and food'!$C$18:$XQ$18,"="&amp;'Coffee and food'!K34,'Coffee and food'!$C$25:$XQ$25)</f>
        <v>-51092.421249999999</v>
      </c>
      <c r="L37" s="4">
        <f>SUMIF('Coffee and food'!$C$18:$XQ$18,"="&amp;'Coffee and food'!L34,'Coffee and food'!$C$25:$XQ$25)</f>
        <v>-50575.477833333345</v>
      </c>
      <c r="M37" s="4">
        <f>SUMIF('Coffee and food'!$C$18:$XQ$18,"="&amp;'Coffee and food'!M34,'Coffee and food'!$C$25:$XQ$25)</f>
        <v>-48203.203249999991</v>
      </c>
      <c r="N37" s="4">
        <f>SUMIF('Coffee and food'!$C$18:$XQ$18,"="&amp;'Coffee and food'!N34,'Coffee and food'!$C$25:$XQ$25)</f>
        <v>-51092.421249999999</v>
      </c>
      <c r="O37" s="4">
        <f>SUMIF('Coffee and food'!$C$18:$XQ$18,"="&amp;'Coffee and food'!O34,'Coffee and food'!$C$25:$XQ$25)</f>
        <v>-48486.459916666681</v>
      </c>
      <c r="P37" s="4">
        <f>SUMIF('Coffee and food'!$C$18:$XQ$18,"="&amp;'Coffee and food'!P34,'Coffee and food'!$C$25:$XQ$25)</f>
        <v>-52381.239083333327</v>
      </c>
      <c r="Q37" s="4">
        <f>SUMIF('Coffee and food'!$C$18:$XQ$18,"="&amp;'Coffee and food'!Q34,'Coffee and food'!$C$25:$XQ$25)</f>
        <v>-49003.403333333335</v>
      </c>
      <c r="R37" s="4">
        <f>SUMIF('Coffee and food'!$C$18:$XQ$18,"="&amp;'Coffee and food'!R34,'Coffee and food'!$C$25:$XQ$25)</f>
        <v>-50575.477833333345</v>
      </c>
      <c r="S37" s="4">
        <f>SUMIF('Coffee and food'!$C$18:$XQ$18,"="&amp;'Coffee and food'!S34,'Coffee and food'!$C$25:$XQ$25)</f>
        <v>-51977.598333333321</v>
      </c>
      <c r="T37" s="4">
        <f>SUMIF('Coffee and food'!$C$18:$XQ$18,"="&amp;'Coffee and food'!T34,'Coffee and food'!$C$25:$XQ$25)</f>
        <v>-48203.203250000006</v>
      </c>
      <c r="U37" s="4">
        <f>SUMIF('Coffee and food'!$C$18:$XQ$18,"="&amp;'Coffee and food'!U34,'Coffee and food'!$C$25:$XQ$25)</f>
        <v>-51779.318666666666</v>
      </c>
      <c r="V37" s="4">
        <f>SUMIF('Coffee and food'!$C$18:$XQ$18,"="&amp;'Coffee and food'!V34,'Coffee and food'!$C$25:$XQ$25)</f>
        <v>-49888.580416666664</v>
      </c>
      <c r="W37" s="4">
        <f>SUMIF('Coffee and food'!$C$18:$XQ$18,"="&amp;'Coffee and food'!W34,'Coffee and food'!$C$25:$XQ$25)</f>
        <v>-49690.300750000009</v>
      </c>
    </row>
    <row r="38" spans="1:23" x14ac:dyDescent="0.3">
      <c r="B38" s="16" t="str">
        <f>B26</f>
        <v>Sugar</v>
      </c>
      <c r="C38" s="4">
        <f>SUMIF('Coffee and food'!$C$18:$XQ$18,"="&amp;'Coffee and food'!C34,'Coffee and food'!$C$26:$XQ$26)</f>
        <v>-642.59999999999991</v>
      </c>
      <c r="D38" s="4">
        <f>SUMIF('Coffee and food'!$C$18:$XQ$18,"="&amp;'Coffee and food'!D34,'Coffee and food'!$C$26:$XQ$26)</f>
        <v>-699.97499999999991</v>
      </c>
      <c r="E38" s="4">
        <f>SUMIF('Coffee and food'!$C$18:$XQ$18,"="&amp;'Coffee and food'!E34,'Coffee and food'!$C$26:$XQ$26)</f>
        <v>-699.97500000000002</v>
      </c>
      <c r="F38" s="4">
        <f>SUMIF('Coffee and food'!$C$18:$XQ$18,"="&amp;'Coffee and food'!F34,'Coffee and food'!$C$26:$XQ$26)</f>
        <v>-698.06249999999989</v>
      </c>
      <c r="G38" s="4">
        <f>SUMIF('Coffee and food'!$C$18:$XQ$18,"="&amp;'Coffee and food'!G34,'Coffee and food'!$C$26:$XQ$26)</f>
        <v>-719.09999999999991</v>
      </c>
      <c r="H38" s="4">
        <f>SUMIF('Coffee and food'!$C$18:$XQ$18,"="&amp;'Coffee and food'!H34,'Coffee and food'!$C$26:$XQ$26)</f>
        <v>-698.0625</v>
      </c>
      <c r="I38" s="4">
        <f>SUMIF('Coffee and food'!$C$18:$XQ$18,"="&amp;'Coffee and food'!I34,'Coffee and food'!$C$26:$XQ$26)</f>
        <v>-690.41249999999991</v>
      </c>
      <c r="J38" s="4">
        <f>SUMIF('Coffee and food'!$C$18:$XQ$18,"="&amp;'Coffee and food'!J34,'Coffee and food'!$C$26:$XQ$26)</f>
        <v>-699.97500000000002</v>
      </c>
      <c r="K38" s="4">
        <f>SUMIF('Coffee and food'!$C$18:$XQ$18,"="&amp;'Coffee and food'!K34,'Coffee and food'!$C$26:$XQ$26)</f>
        <v>-717.1875</v>
      </c>
      <c r="L38" s="4">
        <f>SUMIF('Coffee and food'!$C$18:$XQ$18,"="&amp;'Coffee and food'!L34,'Coffee and food'!$C$26:$XQ$26)</f>
        <v>-699.97499999999991</v>
      </c>
      <c r="M38" s="4">
        <f>SUMIF('Coffee and food'!$C$18:$XQ$18,"="&amp;'Coffee and food'!M34,'Coffee and food'!$C$26:$XQ$26)</f>
        <v>-671.28750000000002</v>
      </c>
      <c r="N38" s="4">
        <f>SUMIF('Coffee and food'!$C$18:$XQ$18,"="&amp;'Coffee and food'!N34,'Coffee and food'!$C$26:$XQ$26)</f>
        <v>-717.1875</v>
      </c>
      <c r="O38" s="4">
        <f>SUMIF('Coffee and food'!$C$18:$XQ$18,"="&amp;'Coffee and food'!O34,'Coffee and food'!$C$26:$XQ$26)</f>
        <v>-671.28749999999991</v>
      </c>
      <c r="P38" s="4">
        <f>SUMIF('Coffee and food'!$C$18:$XQ$18,"="&amp;'Coffee and food'!P34,'Coffee and food'!$C$26:$XQ$26)</f>
        <v>-728.66250000000002</v>
      </c>
      <c r="Q38" s="4">
        <f>SUMIF('Coffee and food'!$C$18:$XQ$18,"="&amp;'Coffee and food'!Q34,'Coffee and food'!$C$26:$XQ$26)</f>
        <v>-688.49999999999989</v>
      </c>
      <c r="R38" s="4">
        <f>SUMIF('Coffee and food'!$C$18:$XQ$18,"="&amp;'Coffee and food'!R34,'Coffee and food'!$C$26:$XQ$26)</f>
        <v>-699.97499999999991</v>
      </c>
      <c r="S38" s="4">
        <f>SUMIF('Coffee and food'!$C$18:$XQ$18,"="&amp;'Coffee and food'!S34,'Coffee and food'!$C$26:$XQ$26)</f>
        <v>-726.75</v>
      </c>
      <c r="T38" s="4">
        <f>SUMIF('Coffee and food'!$C$18:$XQ$18,"="&amp;'Coffee and food'!T34,'Coffee and food'!$C$26:$XQ$26)</f>
        <v>-671.28749999999991</v>
      </c>
      <c r="U38" s="4">
        <f>SUMIF('Coffee and food'!$C$18:$XQ$18,"="&amp;'Coffee and food'!U34,'Coffee and food'!$C$26:$XQ$26)</f>
        <v>-719.09999999999991</v>
      </c>
      <c r="V38" s="4">
        <f>SUMIF('Coffee and food'!$C$18:$XQ$18,"="&amp;'Coffee and food'!V34,'Coffee and food'!$C$26:$XQ$26)</f>
        <v>-698.0625</v>
      </c>
      <c r="W38" s="4">
        <f>SUMIF('Coffee and food'!$C$18:$XQ$18,"="&amp;'Coffee and food'!W34,'Coffee and food'!$C$26:$XQ$26)</f>
        <v>-690.41249999999991</v>
      </c>
    </row>
    <row r="39" spans="1:23" x14ac:dyDescent="0.3">
      <c r="B39" s="16" t="str">
        <f>B27</f>
        <v>Income</v>
      </c>
      <c r="C39" s="4">
        <f>SUMIF('Coffee and food'!$C$18:$XQ$18,"="&amp;'Coffee and food'!C34,'Coffee and food'!$C$27:$XQ$27)</f>
        <v>99792</v>
      </c>
      <c r="D39" s="4">
        <f>SUMIF('Coffee and food'!$C$18:$XQ$18,"="&amp;'Coffee and food'!D34,'Coffee and food'!$C$27:$XQ$27)</f>
        <v>110592</v>
      </c>
      <c r="E39" s="4">
        <f>SUMIF('Coffee and food'!$C$18:$XQ$18,"="&amp;'Coffee and food'!E34,'Coffee and food'!$C$27:$XQ$27)</f>
        <v>110112</v>
      </c>
      <c r="F39" s="4">
        <f>SUMIF('Coffee and food'!$C$18:$XQ$18,"="&amp;'Coffee and food'!F34,'Coffee and food'!$C$27:$XQ$27)</f>
        <v>109360</v>
      </c>
      <c r="G39" s="4">
        <f>SUMIF('Coffee and food'!$C$18:$XQ$18,"="&amp;'Coffee and food'!G34,'Coffee and food'!$C$27:$XQ$27)</f>
        <v>113312</v>
      </c>
      <c r="H39" s="4">
        <f>SUMIF('Coffee and food'!$C$18:$XQ$18,"="&amp;'Coffee and food'!H34,'Coffee and food'!$C$27:$XQ$27)</f>
        <v>109360</v>
      </c>
      <c r="I39" s="4">
        <f>SUMIF('Coffee and food'!$C$18:$XQ$18,"="&amp;'Coffee and food'!I34,'Coffee and food'!$C$27:$XQ$27)</f>
        <v>108752</v>
      </c>
      <c r="J39" s="4">
        <f>SUMIF('Coffee and food'!$C$18:$XQ$18,"="&amp;'Coffee and food'!J34,'Coffee and food'!$C$27:$XQ$27)</f>
        <v>110112</v>
      </c>
      <c r="K39" s="4">
        <f>SUMIF('Coffee and food'!$C$18:$XQ$18,"="&amp;'Coffee and food'!K34,'Coffee and food'!$C$27:$XQ$27)</f>
        <v>112080</v>
      </c>
      <c r="L39" s="4">
        <f>SUMIF('Coffee and food'!$C$18:$XQ$18,"="&amp;'Coffee and food'!L34,'Coffee and food'!$C$27:$XQ$27)</f>
        <v>110592</v>
      </c>
      <c r="M39" s="4">
        <f>SUMIF('Coffee and food'!$C$18:$XQ$18,"="&amp;'Coffee and food'!M34,'Coffee and food'!$C$27:$XQ$27)</f>
        <v>105552</v>
      </c>
      <c r="N39" s="4">
        <f>SUMIF('Coffee and food'!$C$18:$XQ$18,"="&amp;'Coffee and food'!N34,'Coffee and food'!$C$27:$XQ$27)</f>
        <v>112080</v>
      </c>
      <c r="O39" s="4">
        <f>SUMIF('Coffee and food'!$C$18:$XQ$18,"="&amp;'Coffee and food'!O34,'Coffee and food'!$C$27:$XQ$27)</f>
        <v>106032</v>
      </c>
      <c r="P39" s="4">
        <f>SUMIF('Coffee and food'!$C$18:$XQ$18,"="&amp;'Coffee and food'!P34,'Coffee and food'!$C$27:$XQ$27)</f>
        <v>114672</v>
      </c>
      <c r="Q39" s="4">
        <f>SUMIF('Coffee and food'!$C$18:$XQ$18,"="&amp;'Coffee and food'!Q34,'Coffee and food'!$C$27:$XQ$27)</f>
        <v>107520</v>
      </c>
      <c r="R39" s="4">
        <f>SUMIF('Coffee and food'!$C$18:$XQ$18,"="&amp;'Coffee and food'!R34,'Coffee and food'!$C$27:$XQ$27)</f>
        <v>110592</v>
      </c>
      <c r="S39" s="4">
        <f>SUMIF('Coffee and food'!$C$18:$XQ$18,"="&amp;'Coffee and food'!S34,'Coffee and food'!$C$27:$XQ$27)</f>
        <v>113920</v>
      </c>
      <c r="T39" s="4">
        <f>SUMIF('Coffee and food'!$C$18:$XQ$18,"="&amp;'Coffee and food'!T34,'Coffee and food'!$C$27:$XQ$27)</f>
        <v>105552</v>
      </c>
      <c r="U39" s="4">
        <f>SUMIF('Coffee and food'!$C$18:$XQ$18,"="&amp;'Coffee and food'!U34,'Coffee and food'!$C$27:$XQ$27)</f>
        <v>113312</v>
      </c>
      <c r="V39" s="4">
        <f>SUMIF('Coffee and food'!$C$18:$XQ$18,"="&amp;'Coffee and food'!V34,'Coffee and food'!$C$27:$XQ$27)</f>
        <v>109360</v>
      </c>
      <c r="W39" s="4">
        <f>SUMIF('Coffee and food'!$C$18:$XQ$18,"="&amp;'Coffee and food'!W34,'Coffee and food'!$C$27:$XQ$27)</f>
        <v>108752</v>
      </c>
    </row>
    <row r="40" spans="1:23" x14ac:dyDescent="0.3">
      <c r="B40" s="16" t="str">
        <f>B28</f>
        <v xml:space="preserve">Coffee profit </v>
      </c>
      <c r="C40" s="4">
        <f>SUMIF('Coffee and food'!$C$18:$XQ$18,"="&amp;'Coffee and food'!C34,'Coffee and food'!$C$28:$XQ$28)</f>
        <v>53743.35633333333</v>
      </c>
      <c r="D40" s="4">
        <f>SUMIF('Coffee and food'!$C$18:$XQ$18,"="&amp;'Coffee and food'!D34,'Coffee and food'!$C$28:$XQ$28)</f>
        <v>59316.547166666664</v>
      </c>
      <c r="E40" s="4">
        <f>SUMIF('Coffee and food'!$C$18:$XQ$18,"="&amp;'Coffee and food'!E34,'Coffee and food'!$C$28:$XQ$28)</f>
        <v>59119.803833333332</v>
      </c>
      <c r="F40" s="4">
        <f>SUMIF('Coffee and food'!$C$18:$XQ$18,"="&amp;'Coffee and food'!F34,'Coffee and food'!$C$28:$XQ$28)</f>
        <v>58773.357083333336</v>
      </c>
      <c r="G40" s="4">
        <f>SUMIF('Coffee and food'!$C$18:$XQ$18,"="&amp;'Coffee and food'!G34,'Coffee and food'!$C$28:$XQ$28)</f>
        <v>60813.581333333328</v>
      </c>
      <c r="H40" s="4">
        <f>SUMIF('Coffee and food'!$C$18:$XQ$18,"="&amp;'Coffee and food'!H34,'Coffee and food'!$C$28:$XQ$28)</f>
        <v>58773.357083333329</v>
      </c>
      <c r="I40" s="4">
        <f>SUMIF('Coffee and food'!$C$18:$XQ$18,"="&amp;'Coffee and food'!I34,'Coffee and food'!$C$28:$XQ$28)</f>
        <v>58371.286749999992</v>
      </c>
      <c r="J40" s="4">
        <f>SUMIF('Coffee and food'!$C$18:$XQ$18,"="&amp;'Coffee and food'!J34,'Coffee and food'!$C$28:$XQ$28)</f>
        <v>59119.803833333332</v>
      </c>
      <c r="K40" s="4">
        <f>SUMIF('Coffee and food'!$C$18:$XQ$18,"="&amp;'Coffee and food'!K34,'Coffee and food'!$C$28:$XQ$28)</f>
        <v>60270.391249999993</v>
      </c>
      <c r="L40" s="4">
        <f>SUMIF('Coffee and food'!$C$18:$XQ$18,"="&amp;'Coffee and food'!L34,'Coffee and food'!$C$28:$XQ$28)</f>
        <v>59316.547166666664</v>
      </c>
      <c r="M40" s="4">
        <f>SUMIF('Coffee and food'!$C$18:$XQ$18,"="&amp;'Coffee and food'!M34,'Coffee and food'!$C$28:$XQ$28)</f>
        <v>56677.509249999996</v>
      </c>
      <c r="N40" s="4">
        <f>SUMIF('Coffee and food'!$C$18:$XQ$18,"="&amp;'Coffee and food'!N34,'Coffee and food'!$C$28:$XQ$28)</f>
        <v>60270.391249999993</v>
      </c>
      <c r="O40" s="4">
        <f>SUMIF('Coffee and food'!$C$18:$XQ$18,"="&amp;'Coffee and food'!O34,'Coffee and food'!$C$28:$XQ$28)</f>
        <v>56874.252583333327</v>
      </c>
      <c r="P40" s="4">
        <f>SUMIF('Coffee and food'!$C$18:$XQ$18,"="&amp;'Coffee and food'!P34,'Coffee and food'!$C$28:$XQ$28)</f>
        <v>61562.098416666668</v>
      </c>
      <c r="Q40" s="4">
        <f>SUMIF('Coffee and food'!$C$18:$XQ$18,"="&amp;'Coffee and food'!Q34,'Coffee and food'!$C$28:$XQ$28)</f>
        <v>57828.096666666672</v>
      </c>
      <c r="R40" s="4">
        <f>SUMIF('Coffee and food'!$C$18:$XQ$18,"="&amp;'Coffee and food'!R34,'Coffee and food'!$C$28:$XQ$28)</f>
        <v>59316.547166666664</v>
      </c>
      <c r="S40" s="4">
        <f>SUMIF('Coffee and food'!$C$18:$XQ$18,"="&amp;'Coffee and food'!S34,'Coffee and food'!$C$28:$XQ$28)</f>
        <v>61215.651666666665</v>
      </c>
      <c r="T40" s="4">
        <f>SUMIF('Coffee and food'!$C$18:$XQ$18,"="&amp;'Coffee and food'!T34,'Coffee and food'!$C$28:$XQ$28)</f>
        <v>56677.509249999996</v>
      </c>
      <c r="U40" s="4">
        <f>SUMIF('Coffee and food'!$C$18:$XQ$18,"="&amp;'Coffee and food'!U34,'Coffee and food'!$C$28:$XQ$28)</f>
        <v>60813.581333333328</v>
      </c>
      <c r="V40" s="4">
        <f>SUMIF('Coffee and food'!$C$18:$XQ$18,"="&amp;'Coffee and food'!V34,'Coffee and food'!$C$28:$XQ$28)</f>
        <v>58773.357083333329</v>
      </c>
      <c r="W40" s="4">
        <f>SUMIF('Coffee and food'!$C$18:$XQ$18,"="&amp;'Coffee and food'!W34,'Coffee and food'!$C$28:$XQ$28)</f>
        <v>58371.286749999992</v>
      </c>
    </row>
    <row r="41" spans="1:23" x14ac:dyDescent="0.3">
      <c r="C41" s="23"/>
      <c r="D41" s="6"/>
    </row>
    <row r="42" spans="1:23" x14ac:dyDescent="0.3">
      <c r="B42" s="1" t="s">
        <v>109</v>
      </c>
    </row>
    <row r="43" spans="1:23" x14ac:dyDescent="0.3">
      <c r="B43" s="8"/>
      <c r="C43" s="8" t="s">
        <v>32</v>
      </c>
      <c r="D43" s="8"/>
    </row>
    <row r="44" spans="1:23" x14ac:dyDescent="0.3">
      <c r="B44" s="8" t="s">
        <v>37</v>
      </c>
      <c r="C44" s="9">
        <f>SUM(C23:K23)*'Coffee and food'!C3</f>
        <v>20196</v>
      </c>
      <c r="D44" s="10">
        <f>C44/1000</f>
        <v>20.196000000000002</v>
      </c>
      <c r="E44" t="s">
        <v>87</v>
      </c>
      <c r="G44" s="4">
        <f>D44*265</f>
        <v>5351.9400000000005</v>
      </c>
    </row>
    <row r="45" spans="1:23" x14ac:dyDescent="0.3">
      <c r="B45" s="8" t="s">
        <v>38</v>
      </c>
      <c r="C45" s="9">
        <f>SUM(C23:E23)*'Coffee and food'!C4</f>
        <v>68850</v>
      </c>
      <c r="D45" s="10">
        <f>C45/1000</f>
        <v>68.849999999999994</v>
      </c>
      <c r="E45" t="s">
        <v>88</v>
      </c>
      <c r="G45" s="4">
        <f>D45*(11.3)</f>
        <v>778.005</v>
      </c>
      <c r="K45" s="4"/>
    </row>
    <row r="46" spans="1:23" x14ac:dyDescent="0.3">
      <c r="G46" s="4">
        <f>SUM(G44:G45)</f>
        <v>6129.9450000000006</v>
      </c>
    </row>
    <row r="47" spans="1:23" x14ac:dyDescent="0.3">
      <c r="B47" s="1" t="s">
        <v>89</v>
      </c>
    </row>
    <row r="48" spans="1:23" x14ac:dyDescent="0.3">
      <c r="A48" s="1"/>
      <c r="B48" s="8" t="s">
        <v>90</v>
      </c>
      <c r="C48" s="8">
        <f>Inputs!D57</f>
        <v>6000</v>
      </c>
    </row>
    <row r="49" spans="1:25" x14ac:dyDescent="0.3">
      <c r="B49" s="8" t="s">
        <v>21</v>
      </c>
      <c r="C49" s="8">
        <v>1</v>
      </c>
      <c r="D49" s="8">
        <f t="shared" ref="D49:K49" si="625">C49+1</f>
        <v>2</v>
      </c>
      <c r="E49" s="8">
        <f t="shared" si="625"/>
        <v>3</v>
      </c>
      <c r="F49" s="8">
        <f t="shared" si="625"/>
        <v>4</v>
      </c>
      <c r="G49" s="8">
        <f t="shared" si="625"/>
        <v>5</v>
      </c>
      <c r="H49" s="8">
        <f t="shared" si="625"/>
        <v>6</v>
      </c>
      <c r="I49" s="8">
        <f t="shared" si="625"/>
        <v>7</v>
      </c>
      <c r="J49" s="8">
        <f t="shared" si="625"/>
        <v>8</v>
      </c>
      <c r="K49" s="8">
        <f t="shared" si="625"/>
        <v>9</v>
      </c>
    </row>
    <row r="50" spans="1:25" x14ac:dyDescent="0.3">
      <c r="B50" s="8" t="s">
        <v>91</v>
      </c>
      <c r="C50" s="10">
        <f>MAX($C$48-SUM('Coffee and food'!$C$35:C35),0)</f>
        <v>3144</v>
      </c>
      <c r="D50" s="10">
        <f>MAX($C$48-SUM('Coffee and food'!$C$35:D35),0)</f>
        <v>33</v>
      </c>
      <c r="E50" s="10">
        <f>MAX($C$48-SUM('Coffee and food'!$C$35:E35),0)</f>
        <v>0</v>
      </c>
      <c r="F50" s="10">
        <f>MAX($C$48-SUM('Coffee and food'!$C$35:F35),0)</f>
        <v>0</v>
      </c>
      <c r="G50" s="10">
        <f>MAX($C$48-SUM('Coffee and food'!$C$35:G35),0)</f>
        <v>0</v>
      </c>
      <c r="H50" s="10">
        <f>MAX($C$48-SUM('Coffee and food'!$C$35:H35),0)</f>
        <v>0</v>
      </c>
      <c r="I50" s="10">
        <f>MAX($C$48-SUM('Coffee and food'!$C$35:I35),0)</f>
        <v>0</v>
      </c>
      <c r="J50" s="10">
        <f>MAX($C$48-SUM('Coffee and food'!$C$35:J35),0)</f>
        <v>0</v>
      </c>
      <c r="K50" s="10">
        <f>MAX($C$48-SUM('Coffee and food'!$C$35:K35),0)</f>
        <v>0</v>
      </c>
    </row>
    <row r="51" spans="1:25" x14ac:dyDescent="0.3">
      <c r="C51" s="23"/>
      <c r="D51" s="6"/>
    </row>
    <row r="52" spans="1:25" x14ac:dyDescent="0.3">
      <c r="C52" s="23"/>
      <c r="D52" s="6"/>
    </row>
    <row r="53" spans="1:25" s="20" customFormat="1" x14ac:dyDescent="0.3">
      <c r="A53" s="20" t="s">
        <v>52</v>
      </c>
      <c r="C53" s="25"/>
      <c r="D53" s="26"/>
    </row>
    <row r="54" spans="1:25" x14ac:dyDescent="0.3">
      <c r="B54" s="1" t="s">
        <v>105</v>
      </c>
      <c r="C54" s="23"/>
      <c r="D54" s="6"/>
    </row>
    <row r="55" spans="1:25" x14ac:dyDescent="0.3">
      <c r="B55" s="8" t="s">
        <v>39</v>
      </c>
      <c r="C55" s="9">
        <f>Inputs!C64</f>
        <v>20</v>
      </c>
      <c r="D55" s="6"/>
    </row>
    <row r="56" spans="1:25" x14ac:dyDescent="0.3">
      <c r="A56" s="1"/>
      <c r="B56" s="8" t="s">
        <v>40</v>
      </c>
      <c r="C56" s="12">
        <f>Inputs!C65</f>
        <v>0.9</v>
      </c>
      <c r="D56" s="6"/>
      <c r="E56" s="4"/>
    </row>
    <row r="57" spans="1:25" x14ac:dyDescent="0.3">
      <c r="B57" s="8" t="s">
        <v>53</v>
      </c>
      <c r="C57" s="27">
        <f>C55*(1+C56)</f>
        <v>38</v>
      </c>
      <c r="D57" s="6"/>
    </row>
    <row r="58" spans="1:25" x14ac:dyDescent="0.3">
      <c r="D58" s="6"/>
    </row>
    <row r="59" spans="1:25" x14ac:dyDescent="0.3">
      <c r="B59" s="8" t="s">
        <v>82</v>
      </c>
      <c r="C59" s="8">
        <v>1</v>
      </c>
      <c r="D59" s="8"/>
      <c r="E59" s="8"/>
      <c r="F59" s="8"/>
    </row>
    <row r="60" spans="1:25" x14ac:dyDescent="0.3">
      <c r="A60" s="1"/>
      <c r="B60" s="8" t="s">
        <v>83</v>
      </c>
      <c r="C60" s="28">
        <v>1</v>
      </c>
      <c r="D60" s="13">
        <v>1.5</v>
      </c>
      <c r="E60" s="13">
        <v>1.75</v>
      </c>
      <c r="F60" s="13">
        <v>1</v>
      </c>
    </row>
    <row r="61" spans="1:25" x14ac:dyDescent="0.3">
      <c r="D61" s="7"/>
      <c r="E61" s="6"/>
    </row>
    <row r="62" spans="1:25" x14ac:dyDescent="0.3">
      <c r="B62" t="s">
        <v>21</v>
      </c>
      <c r="C62" s="3">
        <v>45017</v>
      </c>
      <c r="D62" s="3">
        <v>45047</v>
      </c>
      <c r="E62" s="3">
        <v>45078</v>
      </c>
      <c r="F62" s="3">
        <v>45108</v>
      </c>
      <c r="G62" s="3">
        <v>45139</v>
      </c>
      <c r="H62" s="3">
        <v>45170</v>
      </c>
      <c r="I62" s="3">
        <v>45200</v>
      </c>
      <c r="J62" s="3">
        <v>45231</v>
      </c>
      <c r="K62" s="3">
        <v>45261</v>
      </c>
      <c r="L62" s="3">
        <v>45292</v>
      </c>
      <c r="M62" s="3">
        <v>45323</v>
      </c>
      <c r="N62" s="3">
        <v>45352</v>
      </c>
      <c r="O62" s="3">
        <v>45383</v>
      </c>
      <c r="P62" s="3">
        <v>45413</v>
      </c>
      <c r="Q62" s="3">
        <v>45444</v>
      </c>
      <c r="R62" s="3">
        <v>45474</v>
      </c>
      <c r="S62" s="3">
        <v>45505</v>
      </c>
      <c r="T62" s="3">
        <v>45536</v>
      </c>
      <c r="U62" s="3">
        <v>45566</v>
      </c>
      <c r="V62" s="3">
        <v>45597</v>
      </c>
      <c r="W62" s="3">
        <v>45627</v>
      </c>
      <c r="X62" s="3"/>
      <c r="Y62" s="3"/>
    </row>
    <row r="63" spans="1:25" x14ac:dyDescent="0.3">
      <c r="B63" t="s">
        <v>51</v>
      </c>
      <c r="C63">
        <f>100*C60*$C$59</f>
        <v>100</v>
      </c>
      <c r="D63">
        <f>C63*D60*$C$59</f>
        <v>150</v>
      </c>
      <c r="E63">
        <f>D63*E60*$C$59</f>
        <v>262.5</v>
      </c>
      <c r="F63">
        <f>E63*$F$60*$C$59</f>
        <v>262.5</v>
      </c>
      <c r="G63">
        <f>F63</f>
        <v>262.5</v>
      </c>
      <c r="H63">
        <f t="shared" ref="H63:W63" si="626">G63</f>
        <v>262.5</v>
      </c>
      <c r="I63">
        <f t="shared" si="626"/>
        <v>262.5</v>
      </c>
      <c r="J63">
        <f t="shared" si="626"/>
        <v>262.5</v>
      </c>
      <c r="K63">
        <f t="shared" si="626"/>
        <v>262.5</v>
      </c>
      <c r="L63">
        <f t="shared" si="626"/>
        <v>262.5</v>
      </c>
      <c r="M63">
        <f t="shared" si="626"/>
        <v>262.5</v>
      </c>
      <c r="N63">
        <f t="shared" si="626"/>
        <v>262.5</v>
      </c>
      <c r="O63">
        <f t="shared" si="626"/>
        <v>262.5</v>
      </c>
      <c r="P63">
        <f t="shared" si="626"/>
        <v>262.5</v>
      </c>
      <c r="Q63">
        <f t="shared" si="626"/>
        <v>262.5</v>
      </c>
      <c r="R63">
        <f t="shared" si="626"/>
        <v>262.5</v>
      </c>
      <c r="S63">
        <f t="shared" si="626"/>
        <v>262.5</v>
      </c>
      <c r="T63">
        <f t="shared" si="626"/>
        <v>262.5</v>
      </c>
      <c r="U63">
        <f t="shared" si="626"/>
        <v>262.5</v>
      </c>
      <c r="V63">
        <f t="shared" si="626"/>
        <v>262.5</v>
      </c>
      <c r="W63">
        <f t="shared" si="626"/>
        <v>262.5</v>
      </c>
    </row>
    <row r="64" spans="1:25" x14ac:dyDescent="0.3">
      <c r="B64" t="s">
        <v>79</v>
      </c>
      <c r="C64" s="4">
        <f>C63*$C$55</f>
        <v>2000</v>
      </c>
      <c r="D64" s="4">
        <f t="shared" ref="D64:W64" si="627">D63*$C$55</f>
        <v>3000</v>
      </c>
      <c r="E64" s="4">
        <f t="shared" si="627"/>
        <v>5250</v>
      </c>
      <c r="F64" s="4">
        <f t="shared" si="627"/>
        <v>5250</v>
      </c>
      <c r="G64" s="4">
        <f t="shared" si="627"/>
        <v>5250</v>
      </c>
      <c r="H64" s="4">
        <f t="shared" si="627"/>
        <v>5250</v>
      </c>
      <c r="I64" s="4">
        <f t="shared" si="627"/>
        <v>5250</v>
      </c>
      <c r="J64" s="4">
        <f t="shared" si="627"/>
        <v>5250</v>
      </c>
      <c r="K64" s="4">
        <f t="shared" si="627"/>
        <v>5250</v>
      </c>
      <c r="L64" s="4">
        <f t="shared" si="627"/>
        <v>5250</v>
      </c>
      <c r="M64" s="4">
        <f t="shared" si="627"/>
        <v>5250</v>
      </c>
      <c r="N64" s="4">
        <f t="shared" si="627"/>
        <v>5250</v>
      </c>
      <c r="O64" s="4">
        <f t="shared" si="627"/>
        <v>5250</v>
      </c>
      <c r="P64" s="4">
        <f t="shared" si="627"/>
        <v>5250</v>
      </c>
      <c r="Q64" s="4">
        <f t="shared" si="627"/>
        <v>5250</v>
      </c>
      <c r="R64" s="4">
        <f t="shared" si="627"/>
        <v>5250</v>
      </c>
      <c r="S64" s="4">
        <f t="shared" si="627"/>
        <v>5250</v>
      </c>
      <c r="T64" s="4">
        <f t="shared" si="627"/>
        <v>5250</v>
      </c>
      <c r="U64" s="4">
        <f t="shared" si="627"/>
        <v>5250</v>
      </c>
      <c r="V64" s="4">
        <f t="shared" si="627"/>
        <v>5250</v>
      </c>
      <c r="W64" s="4">
        <f t="shared" si="627"/>
        <v>5250</v>
      </c>
    </row>
    <row r="65" spans="1:23" x14ac:dyDescent="0.3">
      <c r="B65" t="s">
        <v>80</v>
      </c>
      <c r="C65" s="2">
        <f>C63*$C$57</f>
        <v>3800</v>
      </c>
      <c r="D65" s="2">
        <f t="shared" ref="D65:W65" si="628">D63*$C$57</f>
        <v>5700</v>
      </c>
      <c r="E65" s="2">
        <f t="shared" si="628"/>
        <v>9975</v>
      </c>
      <c r="F65" s="2">
        <f t="shared" si="628"/>
        <v>9975</v>
      </c>
      <c r="G65" s="2">
        <f t="shared" si="628"/>
        <v>9975</v>
      </c>
      <c r="H65" s="2">
        <f t="shared" si="628"/>
        <v>9975</v>
      </c>
      <c r="I65" s="2">
        <f t="shared" si="628"/>
        <v>9975</v>
      </c>
      <c r="J65" s="2">
        <f t="shared" si="628"/>
        <v>9975</v>
      </c>
      <c r="K65" s="2">
        <f t="shared" si="628"/>
        <v>9975</v>
      </c>
      <c r="L65" s="2">
        <f t="shared" si="628"/>
        <v>9975</v>
      </c>
      <c r="M65" s="2">
        <f t="shared" si="628"/>
        <v>9975</v>
      </c>
      <c r="N65" s="2">
        <f t="shared" si="628"/>
        <v>9975</v>
      </c>
      <c r="O65" s="2">
        <f t="shared" si="628"/>
        <v>9975</v>
      </c>
      <c r="P65" s="2">
        <f t="shared" si="628"/>
        <v>9975</v>
      </c>
      <c r="Q65" s="2">
        <f t="shared" si="628"/>
        <v>9975</v>
      </c>
      <c r="R65" s="2">
        <f t="shared" si="628"/>
        <v>9975</v>
      </c>
      <c r="S65" s="2">
        <f t="shared" si="628"/>
        <v>9975</v>
      </c>
      <c r="T65" s="2">
        <f t="shared" si="628"/>
        <v>9975</v>
      </c>
      <c r="U65" s="2">
        <f t="shared" si="628"/>
        <v>9975</v>
      </c>
      <c r="V65" s="2">
        <f t="shared" si="628"/>
        <v>9975</v>
      </c>
      <c r="W65" s="2">
        <f t="shared" si="628"/>
        <v>9975</v>
      </c>
    </row>
    <row r="66" spans="1:23" x14ac:dyDescent="0.3">
      <c r="B66" t="s">
        <v>81</v>
      </c>
      <c r="C66" s="4">
        <f>C65-C64</f>
        <v>1800</v>
      </c>
      <c r="D66" s="4">
        <f t="shared" ref="D66:W66" si="629">D65-D64</f>
        <v>2700</v>
      </c>
      <c r="E66" s="4">
        <f t="shared" si="629"/>
        <v>4725</v>
      </c>
      <c r="F66" s="4">
        <f t="shared" si="629"/>
        <v>4725</v>
      </c>
      <c r="G66" s="4">
        <f t="shared" si="629"/>
        <v>4725</v>
      </c>
      <c r="H66" s="4">
        <f t="shared" si="629"/>
        <v>4725</v>
      </c>
      <c r="I66" s="4">
        <f t="shared" si="629"/>
        <v>4725</v>
      </c>
      <c r="J66" s="4">
        <f t="shared" si="629"/>
        <v>4725</v>
      </c>
      <c r="K66" s="4">
        <f t="shared" si="629"/>
        <v>4725</v>
      </c>
      <c r="L66" s="4">
        <f t="shared" si="629"/>
        <v>4725</v>
      </c>
      <c r="M66" s="4">
        <f t="shared" si="629"/>
        <v>4725</v>
      </c>
      <c r="N66" s="4">
        <f t="shared" si="629"/>
        <v>4725</v>
      </c>
      <c r="O66" s="4">
        <f t="shared" si="629"/>
        <v>4725</v>
      </c>
      <c r="P66" s="4">
        <f t="shared" si="629"/>
        <v>4725</v>
      </c>
      <c r="Q66" s="4">
        <f t="shared" si="629"/>
        <v>4725</v>
      </c>
      <c r="R66" s="4">
        <f t="shared" si="629"/>
        <v>4725</v>
      </c>
      <c r="S66" s="4">
        <f t="shared" si="629"/>
        <v>4725</v>
      </c>
      <c r="T66" s="4">
        <f t="shared" si="629"/>
        <v>4725</v>
      </c>
      <c r="U66" s="4">
        <f t="shared" si="629"/>
        <v>4725</v>
      </c>
      <c r="V66" s="4">
        <f t="shared" si="629"/>
        <v>4725</v>
      </c>
      <c r="W66" s="4">
        <f t="shared" si="629"/>
        <v>4725</v>
      </c>
    </row>
    <row r="68" spans="1:23" x14ac:dyDescent="0.3">
      <c r="B68" t="s">
        <v>107</v>
      </c>
      <c r="C68">
        <f>C63/30</f>
        <v>3.3333333333333335</v>
      </c>
      <c r="D68">
        <f t="shared" ref="D68:W68" si="630">D63/30</f>
        <v>5</v>
      </c>
      <c r="E68">
        <f t="shared" si="630"/>
        <v>8.75</v>
      </c>
      <c r="F68">
        <f t="shared" si="630"/>
        <v>8.75</v>
      </c>
      <c r="G68">
        <f t="shared" si="630"/>
        <v>8.75</v>
      </c>
      <c r="H68">
        <f t="shared" si="630"/>
        <v>8.75</v>
      </c>
      <c r="I68">
        <f t="shared" si="630"/>
        <v>8.75</v>
      </c>
      <c r="J68">
        <f t="shared" si="630"/>
        <v>8.75</v>
      </c>
      <c r="K68">
        <f t="shared" si="630"/>
        <v>8.75</v>
      </c>
      <c r="L68">
        <f t="shared" si="630"/>
        <v>8.75</v>
      </c>
      <c r="M68">
        <f t="shared" si="630"/>
        <v>8.75</v>
      </c>
      <c r="N68">
        <f t="shared" si="630"/>
        <v>8.75</v>
      </c>
      <c r="O68">
        <f t="shared" si="630"/>
        <v>8.75</v>
      </c>
      <c r="P68">
        <f t="shared" si="630"/>
        <v>8.75</v>
      </c>
      <c r="Q68">
        <f t="shared" si="630"/>
        <v>8.75</v>
      </c>
      <c r="R68">
        <f t="shared" si="630"/>
        <v>8.75</v>
      </c>
      <c r="S68">
        <f t="shared" si="630"/>
        <v>8.75</v>
      </c>
      <c r="T68">
        <f t="shared" si="630"/>
        <v>8.75</v>
      </c>
      <c r="U68">
        <f t="shared" si="630"/>
        <v>8.75</v>
      </c>
      <c r="V68">
        <f t="shared" si="630"/>
        <v>8.75</v>
      </c>
      <c r="W68">
        <f t="shared" si="630"/>
        <v>8.75</v>
      </c>
    </row>
    <row r="70" spans="1:23" x14ac:dyDescent="0.3">
      <c r="A70" s="1"/>
    </row>
  </sheetData>
  <phoneticPr fontId="3" type="noConversion"/>
  <pageMargins left="0.7" right="0.7" top="0.75" bottom="0.75" header="0.3" footer="0.3"/>
  <pageSetup orientation="portrait" horizontalDpi="204" verticalDpi="19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0D00-7615-40F8-B541-D42D708B34D1}">
  <dimension ref="A1:Y34"/>
  <sheetViews>
    <sheetView workbookViewId="0">
      <selection activeCell="C6" sqref="C6"/>
    </sheetView>
  </sheetViews>
  <sheetFormatPr defaultRowHeight="14.4" x14ac:dyDescent="0.3"/>
  <cols>
    <col min="1" max="1" width="18.109375" customWidth="1"/>
    <col min="4" max="25" width="14.44140625" customWidth="1"/>
  </cols>
  <sheetData>
    <row r="1" spans="1:25" x14ac:dyDescent="0.3">
      <c r="D1">
        <v>1</v>
      </c>
      <c r="E1">
        <f>D1+1</f>
        <v>2</v>
      </c>
      <c r="F1">
        <f t="shared" ref="F1:Y1" si="0">E1+1</f>
        <v>3</v>
      </c>
      <c r="G1">
        <f t="shared" si="0"/>
        <v>4</v>
      </c>
      <c r="H1">
        <f t="shared" si="0"/>
        <v>5</v>
      </c>
      <c r="I1">
        <f t="shared" si="0"/>
        <v>6</v>
      </c>
      <c r="J1">
        <f t="shared" si="0"/>
        <v>7</v>
      </c>
      <c r="K1">
        <f t="shared" si="0"/>
        <v>8</v>
      </c>
      <c r="L1">
        <f t="shared" si="0"/>
        <v>9</v>
      </c>
      <c r="M1">
        <f t="shared" si="0"/>
        <v>10</v>
      </c>
      <c r="N1">
        <f t="shared" si="0"/>
        <v>11</v>
      </c>
      <c r="O1">
        <f t="shared" si="0"/>
        <v>12</v>
      </c>
      <c r="P1">
        <f t="shared" si="0"/>
        <v>13</v>
      </c>
      <c r="Q1">
        <f t="shared" si="0"/>
        <v>14</v>
      </c>
      <c r="R1">
        <f t="shared" si="0"/>
        <v>15</v>
      </c>
      <c r="S1">
        <f t="shared" si="0"/>
        <v>16</v>
      </c>
      <c r="T1">
        <f t="shared" si="0"/>
        <v>17</v>
      </c>
      <c r="U1">
        <f t="shared" si="0"/>
        <v>18</v>
      </c>
      <c r="V1">
        <f t="shared" si="0"/>
        <v>19</v>
      </c>
      <c r="W1">
        <f t="shared" si="0"/>
        <v>20</v>
      </c>
      <c r="X1">
        <f t="shared" si="0"/>
        <v>21</v>
      </c>
      <c r="Y1">
        <f t="shared" si="0"/>
        <v>22</v>
      </c>
    </row>
    <row r="2" spans="1:25" x14ac:dyDescent="0.3">
      <c r="D2" s="3">
        <v>44986</v>
      </c>
      <c r="E2" s="3">
        <v>45017</v>
      </c>
      <c r="F2" s="3">
        <v>45047</v>
      </c>
      <c r="G2" s="3">
        <v>45078</v>
      </c>
      <c r="H2" s="3">
        <v>45108</v>
      </c>
      <c r="I2" s="3">
        <v>45139</v>
      </c>
      <c r="J2" s="3">
        <v>45170</v>
      </c>
      <c r="K2" s="3">
        <v>45200</v>
      </c>
      <c r="L2" s="3">
        <v>45231</v>
      </c>
      <c r="M2" s="3">
        <v>45261</v>
      </c>
      <c r="N2" s="3">
        <v>45292</v>
      </c>
      <c r="O2" s="3">
        <v>45323</v>
      </c>
      <c r="P2" s="3">
        <v>45352</v>
      </c>
      <c r="Q2" s="3">
        <v>45383</v>
      </c>
      <c r="R2" s="3">
        <v>45413</v>
      </c>
      <c r="S2" s="3">
        <v>45444</v>
      </c>
      <c r="T2" s="3">
        <v>45474</v>
      </c>
      <c r="U2" s="3">
        <v>45505</v>
      </c>
      <c r="V2" s="3">
        <v>45536</v>
      </c>
      <c r="W2" s="3">
        <v>45566</v>
      </c>
      <c r="X2" s="3">
        <v>45597</v>
      </c>
      <c r="Y2" s="3">
        <v>45627</v>
      </c>
    </row>
    <row r="4" spans="1:25" x14ac:dyDescent="0.3">
      <c r="A4" t="s">
        <v>26</v>
      </c>
      <c r="D4" s="4">
        <f>-Inputs!C32 +Inputs!C13</f>
        <v>-151224.88</v>
      </c>
    </row>
    <row r="5" spans="1:25" x14ac:dyDescent="0.3">
      <c r="A5" t="s">
        <v>27</v>
      </c>
      <c r="E5" s="4">
        <f>-Inputs!$C$43</f>
        <v>-38300</v>
      </c>
      <c r="F5" s="4">
        <f>-Inputs!$C$43</f>
        <v>-38300</v>
      </c>
      <c r="G5" s="4">
        <f>-Inputs!$C$43</f>
        <v>-38300</v>
      </c>
      <c r="H5" s="4">
        <f>-Inputs!$C$43</f>
        <v>-38300</v>
      </c>
      <c r="I5" s="4">
        <f>-Inputs!$C$43</f>
        <v>-38300</v>
      </c>
      <c r="J5" s="4">
        <f>-Inputs!$C$43</f>
        <v>-38300</v>
      </c>
      <c r="K5" s="4">
        <f>-Inputs!$C$43</f>
        <v>-38300</v>
      </c>
      <c r="L5" s="4">
        <f>-Inputs!$C$43</f>
        <v>-38300</v>
      </c>
      <c r="M5" s="4">
        <f>-Inputs!$C$43</f>
        <v>-38300</v>
      </c>
      <c r="N5" s="4">
        <f>-Inputs!$C$43</f>
        <v>-38300</v>
      </c>
      <c r="O5" s="4">
        <f>-Inputs!$C$43</f>
        <v>-38300</v>
      </c>
      <c r="P5" s="4">
        <f>-Inputs!$C$43</f>
        <v>-38300</v>
      </c>
      <c r="Q5" s="4">
        <f>-Inputs!$C$43</f>
        <v>-38300</v>
      </c>
      <c r="R5" s="4">
        <f>-Inputs!$C$43</f>
        <v>-38300</v>
      </c>
      <c r="S5" s="4">
        <f>-Inputs!$C$43</f>
        <v>-38300</v>
      </c>
      <c r="T5" s="4">
        <f>-Inputs!$C$43</f>
        <v>-38300</v>
      </c>
      <c r="U5" s="4">
        <f>-Inputs!$C$43</f>
        <v>-38300</v>
      </c>
      <c r="V5" s="4">
        <f>-Inputs!$C$43</f>
        <v>-38300</v>
      </c>
      <c r="W5" s="4">
        <f>-Inputs!$C$43</f>
        <v>-38300</v>
      </c>
      <c r="X5" s="4">
        <f>-Inputs!$C$43</f>
        <v>-38300</v>
      </c>
      <c r="Y5" s="4">
        <f>-Inputs!$C$43</f>
        <v>-38300</v>
      </c>
    </row>
    <row r="6" spans="1:25" x14ac:dyDescent="0.3">
      <c r="A6" t="s">
        <v>48</v>
      </c>
      <c r="D6" s="2"/>
      <c r="E6" s="4"/>
      <c r="F6" s="4"/>
      <c r="G6" s="4"/>
      <c r="H6" s="4"/>
      <c r="I6" s="4"/>
    </row>
    <row r="8" spans="1:25" x14ac:dyDescent="0.3">
      <c r="A8" s="1" t="s">
        <v>30</v>
      </c>
    </row>
    <row r="9" spans="1:25" x14ac:dyDescent="0.3">
      <c r="A9" t="s">
        <v>76</v>
      </c>
      <c r="E9" s="4">
        <f>'Coffee and food'!C37</f>
        <v>-45406.043666666665</v>
      </c>
      <c r="F9" s="4">
        <f>'Coffee and food'!D37</f>
        <v>-50575.477833333345</v>
      </c>
      <c r="G9" s="4">
        <f>'Coffee and food'!E37</f>
        <v>-50292.221166666655</v>
      </c>
      <c r="H9" s="4">
        <f>'Coffee and food'!F37</f>
        <v>-49888.580416666671</v>
      </c>
      <c r="I9" s="4">
        <f>'Coffee and food'!G37</f>
        <v>-51779.318666666666</v>
      </c>
      <c r="J9" s="4">
        <f>'Coffee and food'!H37</f>
        <v>-49888.580416666664</v>
      </c>
      <c r="K9" s="4">
        <f>'Coffee and food'!I37</f>
        <v>-49690.300750000009</v>
      </c>
      <c r="L9" s="4">
        <f>'Coffee and food'!J37</f>
        <v>-50292.221166666663</v>
      </c>
      <c r="M9" s="4">
        <f>'Coffee and food'!K37</f>
        <v>-51092.421249999999</v>
      </c>
      <c r="N9" s="4">
        <f>'Coffee and food'!L37</f>
        <v>-50575.477833333345</v>
      </c>
      <c r="O9" s="4">
        <f>'Coffee and food'!M37</f>
        <v>-48203.203249999991</v>
      </c>
      <c r="P9" s="4">
        <f>'Coffee and food'!N37</f>
        <v>-51092.421249999999</v>
      </c>
      <c r="Q9" s="4">
        <f>'Coffee and food'!O37</f>
        <v>-48486.459916666681</v>
      </c>
      <c r="R9" s="4">
        <f>'Coffee and food'!P37</f>
        <v>-52381.239083333327</v>
      </c>
      <c r="S9" s="4">
        <f>'Coffee and food'!Q37</f>
        <v>-49003.403333333335</v>
      </c>
      <c r="T9" s="4">
        <f>'Coffee and food'!R37</f>
        <v>-50575.477833333345</v>
      </c>
      <c r="U9" s="4">
        <f>'Coffee and food'!S37</f>
        <v>-51977.598333333321</v>
      </c>
      <c r="V9" s="4">
        <f>'Coffee and food'!T37</f>
        <v>-48203.203250000006</v>
      </c>
      <c r="W9" s="4">
        <f>'Coffee and food'!U37</f>
        <v>-51779.318666666666</v>
      </c>
      <c r="X9" s="4">
        <f>'Coffee and food'!V37</f>
        <v>-49888.580416666664</v>
      </c>
      <c r="Y9" s="4">
        <f>'Coffee and food'!W37</f>
        <v>-49690.300750000009</v>
      </c>
    </row>
    <row r="10" spans="1:25" x14ac:dyDescent="0.3">
      <c r="A10" t="s">
        <v>84</v>
      </c>
      <c r="E10" s="4">
        <f>'Coffee and food'!C39</f>
        <v>99792</v>
      </c>
      <c r="F10" s="4">
        <f>'Coffee and food'!D39</f>
        <v>110592</v>
      </c>
      <c r="G10" s="4">
        <f>'Coffee and food'!E39</f>
        <v>110112</v>
      </c>
      <c r="H10" s="4">
        <f>'Coffee and food'!F39</f>
        <v>109360</v>
      </c>
      <c r="I10" s="4">
        <f>'Coffee and food'!G39</f>
        <v>113312</v>
      </c>
      <c r="J10" s="4">
        <f>'Coffee and food'!H39</f>
        <v>109360</v>
      </c>
      <c r="K10" s="4">
        <f>'Coffee and food'!I39</f>
        <v>108752</v>
      </c>
      <c r="L10" s="4">
        <f>'Coffee and food'!J39</f>
        <v>110112</v>
      </c>
      <c r="M10" s="4">
        <f>'Coffee and food'!K39</f>
        <v>112080</v>
      </c>
      <c r="N10" s="4">
        <f>'Coffee and food'!L39</f>
        <v>110592</v>
      </c>
      <c r="O10" s="4">
        <f>'Coffee and food'!M39</f>
        <v>105552</v>
      </c>
      <c r="P10" s="4">
        <f>'Coffee and food'!N39</f>
        <v>112080</v>
      </c>
      <c r="Q10" s="4">
        <f>'Coffee and food'!O39</f>
        <v>106032</v>
      </c>
      <c r="R10" s="4">
        <f>'Coffee and food'!P39</f>
        <v>114672</v>
      </c>
      <c r="S10" s="4">
        <f>'Coffee and food'!Q39</f>
        <v>107520</v>
      </c>
      <c r="T10" s="4">
        <f>'Coffee and food'!R39</f>
        <v>110592</v>
      </c>
      <c r="U10" s="4">
        <f>'Coffee and food'!S39</f>
        <v>113920</v>
      </c>
      <c r="V10" s="4">
        <f>'Coffee and food'!T39</f>
        <v>105552</v>
      </c>
      <c r="W10" s="4">
        <f>'Coffee and food'!U39</f>
        <v>113312</v>
      </c>
      <c r="X10" s="4">
        <f>'Coffee and food'!V39</f>
        <v>109360</v>
      </c>
      <c r="Y10" s="4">
        <f>'Coffee and food'!W39</f>
        <v>108752</v>
      </c>
    </row>
    <row r="11" spans="1:25" x14ac:dyDescent="0.3">
      <c r="A11" t="s">
        <v>78</v>
      </c>
      <c r="E11" s="4">
        <f>'Coffee and food'!C40</f>
        <v>53743.35633333333</v>
      </c>
      <c r="F11" s="4">
        <f>'Coffee and food'!D40</f>
        <v>59316.547166666664</v>
      </c>
      <c r="G11" s="4">
        <f>'Coffee and food'!E40</f>
        <v>59119.803833333332</v>
      </c>
      <c r="H11" s="4">
        <f>'Coffee and food'!F40</f>
        <v>58773.357083333336</v>
      </c>
      <c r="I11" s="4">
        <f>'Coffee and food'!G40</f>
        <v>60813.581333333328</v>
      </c>
      <c r="J11" s="4">
        <f>'Coffee and food'!H40</f>
        <v>58773.357083333329</v>
      </c>
      <c r="K11" s="4">
        <f>'Coffee and food'!I40</f>
        <v>58371.286749999992</v>
      </c>
      <c r="L11" s="4">
        <f>'Coffee and food'!J40</f>
        <v>59119.803833333332</v>
      </c>
      <c r="M11" s="4">
        <f>'Coffee and food'!K40</f>
        <v>60270.391249999993</v>
      </c>
      <c r="N11" s="4">
        <f>'Coffee and food'!L40</f>
        <v>59316.547166666664</v>
      </c>
      <c r="O11" s="4">
        <f>'Coffee and food'!M40</f>
        <v>56677.509249999996</v>
      </c>
      <c r="P11" s="4">
        <f>'Coffee and food'!N40</f>
        <v>60270.391249999993</v>
      </c>
      <c r="Q11" s="4">
        <f>'Coffee and food'!O40</f>
        <v>56874.252583333327</v>
      </c>
      <c r="R11" s="4">
        <f>'Coffee and food'!P40</f>
        <v>61562.098416666668</v>
      </c>
      <c r="S11" s="4">
        <f>'Coffee and food'!Q40</f>
        <v>57828.096666666672</v>
      </c>
      <c r="T11" s="4">
        <f>'Coffee and food'!R40</f>
        <v>59316.547166666664</v>
      </c>
      <c r="U11" s="4">
        <f>'Coffee and food'!S40</f>
        <v>61215.651666666665</v>
      </c>
      <c r="V11" s="4">
        <f>'Coffee and food'!T40</f>
        <v>56677.509249999996</v>
      </c>
      <c r="W11" s="4">
        <f>'Coffee and food'!U40</f>
        <v>60813.581333333328</v>
      </c>
      <c r="X11" s="4">
        <f>'Coffee and food'!V40</f>
        <v>58773.357083333329</v>
      </c>
      <c r="Y11" s="4">
        <f>'Coffee and food'!W40</f>
        <v>58371.286749999992</v>
      </c>
    </row>
    <row r="13" spans="1:25" x14ac:dyDescent="0.3">
      <c r="A13" s="1" t="s">
        <v>52</v>
      </c>
    </row>
    <row r="14" spans="1:25" x14ac:dyDescent="0.3">
      <c r="A14" t="s">
        <v>79</v>
      </c>
      <c r="E14" s="4">
        <f>'Coffee and food'!C64</f>
        <v>2000</v>
      </c>
      <c r="F14" s="4">
        <f>'Coffee and food'!D64</f>
        <v>3000</v>
      </c>
      <c r="G14" s="4">
        <f>'Coffee and food'!E64</f>
        <v>5250</v>
      </c>
      <c r="H14" s="4">
        <f>'Coffee and food'!F64</f>
        <v>5250</v>
      </c>
      <c r="I14" s="4">
        <f>'Coffee and food'!G64</f>
        <v>5250</v>
      </c>
      <c r="J14" s="4">
        <f>'Coffee and food'!H64</f>
        <v>5250</v>
      </c>
      <c r="K14" s="4">
        <f>'Coffee and food'!I64</f>
        <v>5250</v>
      </c>
      <c r="L14" s="4">
        <f>'Coffee and food'!J64</f>
        <v>5250</v>
      </c>
      <c r="M14" s="4">
        <f>'Coffee and food'!K64</f>
        <v>5250</v>
      </c>
      <c r="N14" s="4">
        <f>'Coffee and food'!L64</f>
        <v>5250</v>
      </c>
      <c r="O14" s="4">
        <f>'Coffee and food'!M64</f>
        <v>5250</v>
      </c>
      <c r="P14" s="4">
        <f>'Coffee and food'!N64</f>
        <v>5250</v>
      </c>
      <c r="Q14" s="4">
        <f>'Coffee and food'!O64</f>
        <v>5250</v>
      </c>
      <c r="R14" s="4">
        <f>'Coffee and food'!P64</f>
        <v>5250</v>
      </c>
      <c r="S14" s="4">
        <f>'Coffee and food'!Q64</f>
        <v>5250</v>
      </c>
      <c r="T14" s="4">
        <f>'Coffee and food'!R64</f>
        <v>5250</v>
      </c>
      <c r="U14" s="4">
        <f>'Coffee and food'!S64</f>
        <v>5250</v>
      </c>
      <c r="V14" s="4">
        <f>'Coffee and food'!T64</f>
        <v>5250</v>
      </c>
      <c r="W14" s="4">
        <f>'Coffee and food'!U64</f>
        <v>5250</v>
      </c>
      <c r="X14" s="4">
        <f>'Coffee and food'!V64</f>
        <v>5250</v>
      </c>
      <c r="Y14" s="4">
        <f>'Coffee and food'!W64</f>
        <v>5250</v>
      </c>
    </row>
    <row r="15" spans="1:25" x14ac:dyDescent="0.3">
      <c r="A15" t="s">
        <v>80</v>
      </c>
      <c r="E15" s="4">
        <f>'Coffee and food'!C65</f>
        <v>3800</v>
      </c>
      <c r="F15" s="4">
        <f>'Coffee and food'!D65</f>
        <v>5700</v>
      </c>
      <c r="G15" s="4">
        <f>'Coffee and food'!E65</f>
        <v>9975</v>
      </c>
      <c r="H15" s="4">
        <f>'Coffee and food'!F65</f>
        <v>9975</v>
      </c>
      <c r="I15" s="4">
        <f>'Coffee and food'!G65</f>
        <v>9975</v>
      </c>
      <c r="J15" s="4">
        <f>'Coffee and food'!H65</f>
        <v>9975</v>
      </c>
      <c r="K15" s="4">
        <f>'Coffee and food'!I65</f>
        <v>9975</v>
      </c>
      <c r="L15" s="4">
        <f>'Coffee and food'!J65</f>
        <v>9975</v>
      </c>
      <c r="M15" s="4">
        <f>'Coffee and food'!K65</f>
        <v>9975</v>
      </c>
      <c r="N15" s="4">
        <f>'Coffee and food'!L65</f>
        <v>9975</v>
      </c>
      <c r="O15" s="4">
        <f>'Coffee and food'!M65</f>
        <v>9975</v>
      </c>
      <c r="P15" s="4">
        <f>'Coffee and food'!N65</f>
        <v>9975</v>
      </c>
      <c r="Q15" s="4">
        <f>'Coffee and food'!O65</f>
        <v>9975</v>
      </c>
      <c r="R15" s="4">
        <f>'Coffee and food'!P65</f>
        <v>9975</v>
      </c>
      <c r="S15" s="4">
        <f>'Coffee and food'!Q65</f>
        <v>9975</v>
      </c>
      <c r="T15" s="4">
        <f>'Coffee and food'!R65</f>
        <v>9975</v>
      </c>
      <c r="U15" s="4">
        <f>'Coffee and food'!S65</f>
        <v>9975</v>
      </c>
      <c r="V15" s="4">
        <f>'Coffee and food'!T65</f>
        <v>9975</v>
      </c>
      <c r="W15" s="4">
        <f>'Coffee and food'!U65</f>
        <v>9975</v>
      </c>
      <c r="X15" s="4">
        <f>'Coffee and food'!V65</f>
        <v>9975</v>
      </c>
      <c r="Y15" s="4">
        <f>'Coffee and food'!W65</f>
        <v>9975</v>
      </c>
    </row>
    <row r="16" spans="1:25" x14ac:dyDescent="0.3">
      <c r="A16" t="s">
        <v>81</v>
      </c>
      <c r="E16" s="4">
        <f>'Coffee and food'!C66</f>
        <v>1800</v>
      </c>
      <c r="F16" s="4">
        <f>'Coffee and food'!D66</f>
        <v>2700</v>
      </c>
      <c r="G16" s="4">
        <f>'Coffee and food'!E66</f>
        <v>4725</v>
      </c>
      <c r="H16" s="4">
        <f>'Coffee and food'!F66</f>
        <v>4725</v>
      </c>
      <c r="I16" s="4">
        <f>'Coffee and food'!G66</f>
        <v>4725</v>
      </c>
      <c r="J16" s="4">
        <f>'Coffee and food'!H66</f>
        <v>4725</v>
      </c>
      <c r="K16" s="4">
        <f>'Coffee and food'!I66</f>
        <v>4725</v>
      </c>
      <c r="L16" s="4">
        <f>'Coffee and food'!J66</f>
        <v>4725</v>
      </c>
      <c r="M16" s="4">
        <f>'Coffee and food'!K66</f>
        <v>4725</v>
      </c>
      <c r="N16" s="4">
        <f>'Coffee and food'!L66</f>
        <v>4725</v>
      </c>
      <c r="O16" s="4">
        <f>'Coffee and food'!M66</f>
        <v>4725</v>
      </c>
      <c r="P16" s="4">
        <f>'Coffee and food'!N66</f>
        <v>4725</v>
      </c>
      <c r="Q16" s="4">
        <f>'Coffee and food'!O66</f>
        <v>4725</v>
      </c>
      <c r="R16" s="4">
        <f>'Coffee and food'!P66</f>
        <v>4725</v>
      </c>
      <c r="S16" s="4">
        <f>'Coffee and food'!Q66</f>
        <v>4725</v>
      </c>
      <c r="T16" s="4">
        <f>'Coffee and food'!R66</f>
        <v>4725</v>
      </c>
      <c r="U16" s="4">
        <f>'Coffee and food'!S66</f>
        <v>4725</v>
      </c>
      <c r="V16" s="4">
        <f>'Coffee and food'!T66</f>
        <v>4725</v>
      </c>
      <c r="W16" s="4">
        <f>'Coffee and food'!U66</f>
        <v>4725</v>
      </c>
      <c r="X16" s="4">
        <f>'Coffee and food'!V66</f>
        <v>4725</v>
      </c>
      <c r="Y16" s="4">
        <f>'Coffee and food'!W66</f>
        <v>4725</v>
      </c>
    </row>
    <row r="17" spans="1:25" x14ac:dyDescent="0.3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t="s">
        <v>56</v>
      </c>
      <c r="D18" s="4">
        <f>D11+D16</f>
        <v>0</v>
      </c>
      <c r="E18" s="4">
        <f>E11+E16</f>
        <v>55543.35633333333</v>
      </c>
      <c r="F18" s="4">
        <f t="shared" ref="F18:Y18" si="1">F11+F16</f>
        <v>62016.547166666664</v>
      </c>
      <c r="G18" s="4">
        <f t="shared" si="1"/>
        <v>63844.803833333332</v>
      </c>
      <c r="H18" s="4">
        <f t="shared" si="1"/>
        <v>63498.357083333336</v>
      </c>
      <c r="I18" s="4">
        <f t="shared" si="1"/>
        <v>65538.581333333335</v>
      </c>
      <c r="J18" s="4">
        <f t="shared" si="1"/>
        <v>63498.357083333329</v>
      </c>
      <c r="K18" s="4">
        <f t="shared" si="1"/>
        <v>63096.286749999992</v>
      </c>
      <c r="L18" s="4">
        <f t="shared" si="1"/>
        <v>63844.803833333332</v>
      </c>
      <c r="M18" s="4">
        <f t="shared" si="1"/>
        <v>64995.391249999993</v>
      </c>
      <c r="N18" s="4">
        <f t="shared" si="1"/>
        <v>64041.547166666664</v>
      </c>
      <c r="O18" s="4">
        <f t="shared" si="1"/>
        <v>61402.509249999996</v>
      </c>
      <c r="P18" s="4">
        <f t="shared" si="1"/>
        <v>64995.391249999993</v>
      </c>
      <c r="Q18" s="4">
        <f t="shared" si="1"/>
        <v>61599.252583333327</v>
      </c>
      <c r="R18" s="4">
        <f t="shared" si="1"/>
        <v>66287.098416666675</v>
      </c>
      <c r="S18" s="4">
        <f t="shared" si="1"/>
        <v>62553.096666666672</v>
      </c>
      <c r="T18" s="4">
        <f t="shared" si="1"/>
        <v>64041.547166666664</v>
      </c>
      <c r="U18" s="4">
        <f t="shared" si="1"/>
        <v>65940.651666666672</v>
      </c>
      <c r="V18" s="4">
        <f t="shared" si="1"/>
        <v>61402.509249999996</v>
      </c>
      <c r="W18" s="4">
        <f t="shared" si="1"/>
        <v>65538.581333333335</v>
      </c>
      <c r="X18" s="4">
        <f t="shared" si="1"/>
        <v>63498.357083333329</v>
      </c>
      <c r="Y18" s="4">
        <f t="shared" si="1"/>
        <v>63096.286749999992</v>
      </c>
    </row>
    <row r="19" spans="1:25" x14ac:dyDescent="0.3">
      <c r="A19" t="s">
        <v>47</v>
      </c>
      <c r="D19">
        <f>Inputs!$C$46*Projections!D18</f>
        <v>0</v>
      </c>
      <c r="E19" s="4">
        <f>-Inputs!$C$46*Projections!E18</f>
        <v>-1884.3083636083331</v>
      </c>
      <c r="F19" s="4">
        <f>-Inputs!$C$46*Projections!F18</f>
        <v>-2103.9113626291664</v>
      </c>
      <c r="G19" s="4">
        <f>-Inputs!$C$46*Projections!G18</f>
        <v>-2165.9349700458329</v>
      </c>
      <c r="H19" s="4">
        <f>-Inputs!$C$46*Projections!H18</f>
        <v>-2154.1817640520831</v>
      </c>
      <c r="I19" s="4">
        <f>-Inputs!$C$46*Projections!I18</f>
        <v>-2223.3963717333331</v>
      </c>
      <c r="J19" s="4">
        <f>-Inputs!$C$46*Projections!J18</f>
        <v>-2154.1817640520831</v>
      </c>
      <c r="K19" s="4">
        <f>-Inputs!$C$46*Projections!K18</f>
        <v>-2140.5415279937497</v>
      </c>
      <c r="L19" s="4">
        <f>-Inputs!$C$46*Projections!L18</f>
        <v>-2165.9349700458329</v>
      </c>
      <c r="M19" s="4">
        <f>-Inputs!$C$46*Projections!M18</f>
        <v>-2204.9686481562494</v>
      </c>
      <c r="N19" s="4">
        <f>-Inputs!$C$46*Projections!N18</f>
        <v>-2172.6094876291663</v>
      </c>
      <c r="O19" s="4">
        <f>-Inputs!$C$46*Projections!O18</f>
        <v>-2083.0801263062494</v>
      </c>
      <c r="P19" s="4">
        <f>-Inputs!$C$46*Projections!P18</f>
        <v>-2204.9686481562494</v>
      </c>
      <c r="Q19" s="4">
        <f>-Inputs!$C$46*Projections!Q18</f>
        <v>-2089.7546438895829</v>
      </c>
      <c r="R19" s="4">
        <f>-Inputs!$C$46*Projections!R18</f>
        <v>-2248.7898137854168</v>
      </c>
      <c r="S19" s="4">
        <f>-Inputs!$C$46*Projections!S18</f>
        <v>-2122.1138044166664</v>
      </c>
      <c r="T19" s="4">
        <f>-Inputs!$C$46*Projections!T18</f>
        <v>-2172.6094876291663</v>
      </c>
      <c r="U19" s="4">
        <f>-Inputs!$C$46*Projections!U18</f>
        <v>-2237.0366077916665</v>
      </c>
      <c r="V19" s="4">
        <f>-Inputs!$C$46*Projections!V18</f>
        <v>-2083.0801263062494</v>
      </c>
      <c r="W19" s="4">
        <f>-Inputs!$C$46*Projections!W18</f>
        <v>-2223.3963717333331</v>
      </c>
      <c r="X19" s="4">
        <f>-Inputs!$C$46*Projections!X18</f>
        <v>-2154.1817640520831</v>
      </c>
      <c r="Y19" s="4">
        <f>-Inputs!$C$46*Projections!Y18</f>
        <v>-2140.5415279937497</v>
      </c>
    </row>
    <row r="21" spans="1:25" x14ac:dyDescent="0.3">
      <c r="A21" t="s">
        <v>57</v>
      </c>
      <c r="D21" s="4">
        <f xml:space="preserve"> D4+D5+D6 + D18 + D19</f>
        <v>-151224.88</v>
      </c>
      <c r="E21" s="4">
        <f xml:space="preserve"> E4+E5+E6 + E18 + E19</f>
        <v>15359.047969724996</v>
      </c>
      <c r="F21" s="4">
        <f t="shared" ref="F21:Y21" si="2" xml:space="preserve"> F4+F5+F6 + F18 + F19</f>
        <v>21612.635804037498</v>
      </c>
      <c r="G21" s="4">
        <f t="shared" si="2"/>
        <v>23378.868863287498</v>
      </c>
      <c r="H21" s="4">
        <f t="shared" si="2"/>
        <v>23044.175319281254</v>
      </c>
      <c r="I21" s="4">
        <f t="shared" si="2"/>
        <v>25015.184961600004</v>
      </c>
      <c r="J21" s="4">
        <f xml:space="preserve"> J4+J5+J6 + J18 + J19</f>
        <v>23044.175319281247</v>
      </c>
      <c r="K21" s="4">
        <f t="shared" si="2"/>
        <v>22655.745222006241</v>
      </c>
      <c r="L21" s="4">
        <f t="shared" si="2"/>
        <v>23378.868863287498</v>
      </c>
      <c r="M21" s="4">
        <f t="shared" si="2"/>
        <v>24490.422601843744</v>
      </c>
      <c r="N21" s="4">
        <f t="shared" si="2"/>
        <v>23568.937679037495</v>
      </c>
      <c r="O21" s="4">
        <f t="shared" si="2"/>
        <v>21019.429123693746</v>
      </c>
      <c r="P21" s="4">
        <f t="shared" si="2"/>
        <v>24490.422601843744</v>
      </c>
      <c r="Q21" s="4">
        <f t="shared" si="2"/>
        <v>21209.497939443743</v>
      </c>
      <c r="R21" s="4">
        <f t="shared" si="2"/>
        <v>25738.308602881258</v>
      </c>
      <c r="S21" s="4">
        <f t="shared" si="2"/>
        <v>22130.982862250006</v>
      </c>
      <c r="T21" s="4">
        <f t="shared" si="2"/>
        <v>23568.937679037495</v>
      </c>
      <c r="U21" s="4">
        <f t="shared" si="2"/>
        <v>25403.615058875006</v>
      </c>
      <c r="V21" s="4">
        <f t="shared" si="2"/>
        <v>21019.429123693746</v>
      </c>
      <c r="W21" s="4">
        <f t="shared" si="2"/>
        <v>25015.184961600004</v>
      </c>
      <c r="X21" s="4">
        <f t="shared" si="2"/>
        <v>23044.175319281247</v>
      </c>
      <c r="Y21" s="4">
        <f t="shared" si="2"/>
        <v>22655.745222006241</v>
      </c>
    </row>
    <row r="22" spans="1:25" x14ac:dyDescent="0.3">
      <c r="A22" t="s">
        <v>59</v>
      </c>
      <c r="D22" s="4">
        <f>D21*(1+Inputs!$C$47)^(-D1/12)</f>
        <v>-150611.27103857623</v>
      </c>
      <c r="E22" s="4">
        <f>E21*(1+Inputs!$C$47)^(-E1/12)</f>
        <v>15234.659321710073</v>
      </c>
      <c r="F22" s="4">
        <f>F21*(1+Inputs!$C$47)^(-F1/12)</f>
        <v>21350.616038804877</v>
      </c>
      <c r="G22" s="4">
        <f>G21*(1+Inputs!$C$47)^(-G1/12)</f>
        <v>23001.72438294777</v>
      </c>
      <c r="H22" s="4">
        <f>H21*(1+Inputs!$C$47)^(-H1/12)</f>
        <v>22580.434580488865</v>
      </c>
      <c r="I22" s="4">
        <f>I21*(1+Inputs!$C$47)^(-I1/12)</f>
        <v>24412.320828846492</v>
      </c>
      <c r="J22" s="4">
        <f>J21*(1+Inputs!$C$47)^(-J1/12)</f>
        <v>22397.561935348815</v>
      </c>
      <c r="K22" s="4">
        <f>K21*(1+Inputs!$C$47)^(-K1/12)</f>
        <v>21930.682766259681</v>
      </c>
      <c r="L22" s="4">
        <f>L21*(1+Inputs!$C$47)^(-L1/12)</f>
        <v>22538.837926346219</v>
      </c>
      <c r="M22" s="4">
        <f>M21*(1+Inputs!$C$47)^(-M1/12)</f>
        <v>23514.650602032187</v>
      </c>
      <c r="N22" s="4">
        <f>N21*(1+Inputs!$C$47)^(-N1/12)</f>
        <v>22538.057570086654</v>
      </c>
      <c r="O22" s="4">
        <f>O21*(1+Inputs!$C$47)^(-O1/12)</f>
        <v>20018.503927327376</v>
      </c>
      <c r="P22" s="4">
        <f>P21*(1+Inputs!$C$47)^(-P1/12)</f>
        <v>23229.571850595465</v>
      </c>
      <c r="Q22" s="4">
        <f>Q21*(1+Inputs!$C$47)^(-Q1/12)</f>
        <v>20035.931550473237</v>
      </c>
      <c r="R22" s="4">
        <f>R21*(1+Inputs!$C$47)^(-R1/12)</f>
        <v>24215.496608689467</v>
      </c>
      <c r="S22" s="4">
        <f>S21*(1+Inputs!$C$47)^(-S1/12)</f>
        <v>20737.113424458683</v>
      </c>
      <c r="T22" s="4">
        <f>T21*(1+Inputs!$C$47)^(-T1/12)</f>
        <v>21994.892026765807</v>
      </c>
      <c r="U22" s="4">
        <f>U21*(1+Inputs!$C$47)^(-U1/12)</f>
        <v>23610.847418202451</v>
      </c>
      <c r="V22" s="4">
        <f>V21*(1+Inputs!$C$47)^(-V1/12)</f>
        <v>19456.790071814252</v>
      </c>
      <c r="W22" s="4">
        <f>W21*(1+Inputs!$C$47)^(-W1/12)</f>
        <v>23061.535473940996</v>
      </c>
      <c r="X22" s="4">
        <f>X21*(1+Inputs!$C$47)^(-X1/12)</f>
        <v>21158.25745217537</v>
      </c>
      <c r="Y22" s="4">
        <f>Y21*(1+Inputs!$C$47)^(-Y1/12)</f>
        <v>20717.211695179147</v>
      </c>
    </row>
    <row r="23" spans="1:25" x14ac:dyDescent="0.3">
      <c r="A23" t="s">
        <v>108</v>
      </c>
      <c r="D23" s="4">
        <f>SUM($D$22:D22)</f>
        <v>-150611.27103857623</v>
      </c>
      <c r="E23" s="4">
        <f>SUM($D$22:E22)</f>
        <v>-135376.61171686617</v>
      </c>
      <c r="F23" s="4">
        <f>SUM($D$22:F22)</f>
        <v>-114025.9956780613</v>
      </c>
      <c r="G23" s="4">
        <f>SUM($D$22:G22)</f>
        <v>-91024.271295113533</v>
      </c>
      <c r="H23" s="4">
        <f>SUM($D$22:H22)</f>
        <v>-68443.83671462466</v>
      </c>
      <c r="I23" s="4">
        <f>SUM($D$22:I22)</f>
        <v>-44031.515885778164</v>
      </c>
      <c r="J23" s="4">
        <f>SUM($D$22:J22)</f>
        <v>-21633.95395042935</v>
      </c>
      <c r="K23" s="4">
        <f>SUM($D$22:K22)</f>
        <v>296.72881583033086</v>
      </c>
      <c r="L23" s="4">
        <f>SUM($D$22:L22)</f>
        <v>22835.56674217655</v>
      </c>
      <c r="M23" s="4">
        <f>SUM($D$22:M22)</f>
        <v>46350.217344208737</v>
      </c>
      <c r="N23" s="4">
        <f>SUM($D$22:N22)</f>
        <v>68888.274914295383</v>
      </c>
      <c r="O23" s="4">
        <f>SUM($D$22:O22)</f>
        <v>88906.778841622756</v>
      </c>
      <c r="P23" s="4">
        <f>SUM($D$22:P22)</f>
        <v>112136.35069221823</v>
      </c>
      <c r="Q23" s="4">
        <f>SUM($D$22:Q22)</f>
        <v>132172.28224269146</v>
      </c>
      <c r="R23" s="4">
        <f>SUM($D$22:R22)</f>
        <v>156387.77885138092</v>
      </c>
      <c r="S23" s="4">
        <f>SUM($D$22:S22)</f>
        <v>177124.89227583961</v>
      </c>
      <c r="T23" s="4">
        <f>SUM($D$22:T22)</f>
        <v>199119.7843026054</v>
      </c>
      <c r="U23" s="4">
        <f>SUM($D$22:U22)</f>
        <v>222730.63172080787</v>
      </c>
      <c r="V23" s="4">
        <f>SUM($D$22:V22)</f>
        <v>242187.42179262213</v>
      </c>
      <c r="W23" s="4">
        <f>SUM($D$22:W22)</f>
        <v>265248.95726656314</v>
      </c>
      <c r="X23" s="4">
        <f>SUM($D$22:X22)</f>
        <v>286407.21471873851</v>
      </c>
      <c r="Y23" s="4">
        <f>SUM($D$22:Y22)</f>
        <v>307124.42641391768</v>
      </c>
    </row>
    <row r="25" spans="1:25" x14ac:dyDescent="0.3">
      <c r="A25" t="s">
        <v>60</v>
      </c>
      <c r="D25" s="2">
        <v>0</v>
      </c>
    </row>
    <row r="26" spans="1:25" x14ac:dyDescent="0.3">
      <c r="D26" s="4">
        <f>D25+D23</f>
        <v>-150611.27103857623</v>
      </c>
    </row>
    <row r="27" spans="1:25" x14ac:dyDescent="0.3">
      <c r="D27" s="4"/>
    </row>
    <row r="28" spans="1:25" x14ac:dyDescent="0.3">
      <c r="D28" s="4"/>
    </row>
    <row r="29" spans="1:25" x14ac:dyDescent="0.3">
      <c r="A29" s="1" t="s">
        <v>63</v>
      </c>
    </row>
    <row r="30" spans="1:25" x14ac:dyDescent="0.3">
      <c r="A30" t="s">
        <v>61</v>
      </c>
      <c r="B30">
        <v>10000</v>
      </c>
      <c r="C30" t="s">
        <v>24</v>
      </c>
    </row>
    <row r="31" spans="1:25" x14ac:dyDescent="0.3">
      <c r="A31" t="s">
        <v>62</v>
      </c>
    </row>
    <row r="32" spans="1:25" x14ac:dyDescent="0.3">
      <c r="A32" t="s">
        <v>16</v>
      </c>
    </row>
    <row r="33" spans="1:1" x14ac:dyDescent="0.3">
      <c r="A33" t="s">
        <v>64</v>
      </c>
    </row>
    <row r="34" spans="1:1" x14ac:dyDescent="0.3">
      <c r="A3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A12A-3D0B-4FA1-BA9B-490B54A76E9C}">
  <dimension ref="A1:XQ52"/>
  <sheetViews>
    <sheetView topLeftCell="A13" workbookViewId="0">
      <selection activeCell="B59" sqref="B59"/>
    </sheetView>
  </sheetViews>
  <sheetFormatPr defaultRowHeight="14.4" x14ac:dyDescent="0.3"/>
  <cols>
    <col min="2" max="2" width="11.5546875" customWidth="1"/>
    <col min="3" max="3" width="11.6640625" bestFit="1" customWidth="1"/>
    <col min="4" max="23" width="10.109375" bestFit="1" customWidth="1"/>
    <col min="24" max="24" width="10.21875" customWidth="1"/>
    <col min="25" max="30" width="9.109375" bestFit="1" customWidth="1"/>
    <col min="40" max="61" width="9.88671875" bestFit="1" customWidth="1"/>
    <col min="62" max="70" width="8" bestFit="1" customWidth="1"/>
    <col min="71" max="91" width="9" bestFit="1" customWidth="1"/>
    <col min="92" max="100" width="7.44140625" bestFit="1" customWidth="1"/>
    <col min="101" max="122" width="8.44140625" bestFit="1" customWidth="1"/>
    <col min="123" max="131" width="8.33203125" bestFit="1" customWidth="1"/>
    <col min="132" max="153" width="9.33203125" bestFit="1" customWidth="1"/>
    <col min="154" max="162" width="8.21875" bestFit="1" customWidth="1"/>
    <col min="163" max="183" width="9.21875" bestFit="1" customWidth="1"/>
    <col min="184" max="192" width="8.21875" bestFit="1" customWidth="1"/>
    <col min="193" max="214" width="9.21875" bestFit="1" customWidth="1"/>
    <col min="215" max="223" width="8.6640625" bestFit="1" customWidth="1"/>
    <col min="224" max="244" width="9.6640625" bestFit="1" customWidth="1"/>
    <col min="245" max="253" width="8.44140625" bestFit="1" customWidth="1"/>
    <col min="254" max="275" width="9.44140625" bestFit="1" customWidth="1"/>
    <col min="276" max="284" width="8" bestFit="1" customWidth="1"/>
    <col min="285" max="306" width="9" bestFit="1" customWidth="1"/>
    <col min="307" max="315" width="8.21875" bestFit="1" customWidth="1"/>
    <col min="316" max="335" width="9.21875" bestFit="1" customWidth="1"/>
    <col min="336" max="344" width="8.6640625" bestFit="1" customWidth="1"/>
    <col min="345" max="366" width="9.6640625" bestFit="1" customWidth="1"/>
    <col min="367" max="375" width="8.109375" bestFit="1" customWidth="1"/>
    <col min="376" max="396" width="9.109375" bestFit="1" customWidth="1"/>
    <col min="406" max="427" width="9.88671875" bestFit="1" customWidth="1"/>
    <col min="428" max="436" width="8" bestFit="1" customWidth="1"/>
    <col min="437" max="457" width="9" bestFit="1" customWidth="1"/>
    <col min="458" max="466" width="7.44140625" bestFit="1" customWidth="1"/>
    <col min="467" max="488" width="8.44140625" bestFit="1" customWidth="1"/>
    <col min="489" max="497" width="8.33203125" bestFit="1" customWidth="1"/>
    <col min="498" max="519" width="9.33203125" bestFit="1" customWidth="1"/>
    <col min="520" max="528" width="8.21875" bestFit="1" customWidth="1"/>
    <col min="529" max="549" width="9.21875" bestFit="1" customWidth="1"/>
    <col min="550" max="558" width="8.21875" bestFit="1" customWidth="1"/>
    <col min="559" max="580" width="9.21875" bestFit="1" customWidth="1"/>
    <col min="581" max="589" width="8.6640625" bestFit="1" customWidth="1"/>
    <col min="590" max="610" width="9.6640625" bestFit="1" customWidth="1"/>
    <col min="611" max="619" width="8.44140625" bestFit="1" customWidth="1"/>
    <col min="620" max="641" width="9.44140625" bestFit="1" customWidth="1"/>
  </cols>
  <sheetData>
    <row r="1" spans="1:641" x14ac:dyDescent="0.3">
      <c r="A1" s="1" t="s">
        <v>112</v>
      </c>
    </row>
    <row r="2" spans="1:641" x14ac:dyDescent="0.3">
      <c r="B2" t="s">
        <v>111</v>
      </c>
      <c r="C2" s="14">
        <f>'Coffee and food'!C20</f>
        <v>45019</v>
      </c>
      <c r="D2" s="14">
        <f>'Coffee and food'!D20</f>
        <v>45020</v>
      </c>
      <c r="E2" s="14">
        <f>'Coffee and food'!E20</f>
        <v>45021</v>
      </c>
      <c r="F2" s="14">
        <f>'Coffee and food'!F20</f>
        <v>45022</v>
      </c>
      <c r="G2" s="14">
        <f>'Coffee and food'!G20</f>
        <v>45023</v>
      </c>
      <c r="H2" s="14">
        <f>'Coffee and food'!H20</f>
        <v>45024</v>
      </c>
      <c r="I2" s="14">
        <f>'Coffee and food'!I20</f>
        <v>45025</v>
      </c>
      <c r="J2" s="14">
        <f>'Coffee and food'!J20</f>
        <v>45026</v>
      </c>
      <c r="K2" s="14">
        <f>'Coffee and food'!K20</f>
        <v>45027</v>
      </c>
      <c r="L2" s="14">
        <f>'Coffee and food'!L20</f>
        <v>45028</v>
      </c>
      <c r="M2" s="14">
        <f>'Coffee and food'!M20</f>
        <v>45029</v>
      </c>
      <c r="N2" s="14">
        <f>'Coffee and food'!N20</f>
        <v>45030</v>
      </c>
      <c r="O2" s="14">
        <f>'Coffee and food'!O20</f>
        <v>45031</v>
      </c>
      <c r="P2" s="14">
        <f>'Coffee and food'!P20</f>
        <v>45032</v>
      </c>
      <c r="Q2" s="14">
        <f>'Coffee and food'!Q20</f>
        <v>45033</v>
      </c>
      <c r="R2" s="14">
        <f>'Coffee and food'!R20</f>
        <v>45034</v>
      </c>
      <c r="S2" s="14">
        <f>'Coffee and food'!S20</f>
        <v>45035</v>
      </c>
      <c r="T2" s="14">
        <f>'Coffee and food'!T20</f>
        <v>45036</v>
      </c>
      <c r="U2" s="14">
        <f>'Coffee and food'!U20</f>
        <v>45037</v>
      </c>
      <c r="V2" s="14">
        <f>'Coffee and food'!V20</f>
        <v>45038</v>
      </c>
      <c r="W2" s="14">
        <f>'Coffee and food'!W20</f>
        <v>45039</v>
      </c>
      <c r="X2" s="14">
        <f>'Coffee and food'!X20</f>
        <v>45040</v>
      </c>
      <c r="Y2" s="14">
        <f>'Coffee and food'!Y20</f>
        <v>45041</v>
      </c>
      <c r="Z2" s="14">
        <f>'Coffee and food'!Z20</f>
        <v>45042</v>
      </c>
      <c r="AA2" s="14">
        <f>'Coffee and food'!AA20</f>
        <v>45043</v>
      </c>
      <c r="AB2" s="14">
        <f>'Coffee and food'!AB20</f>
        <v>45044</v>
      </c>
      <c r="AC2" s="14">
        <f>'Coffee and food'!AC20</f>
        <v>45045</v>
      </c>
      <c r="AD2" s="14">
        <f>'Coffee and food'!AD20</f>
        <v>45046</v>
      </c>
      <c r="AE2" s="14">
        <f>'Coffee and food'!AE20</f>
        <v>45047</v>
      </c>
      <c r="AF2" s="14">
        <f>'Coffee and food'!AF20</f>
        <v>45048</v>
      </c>
      <c r="AG2" s="14">
        <f>'Coffee and food'!AG20</f>
        <v>45049</v>
      </c>
      <c r="AH2" s="14">
        <f>'Coffee and food'!AH20</f>
        <v>45050</v>
      </c>
      <c r="AI2" s="14">
        <f>'Coffee and food'!AI20</f>
        <v>45051</v>
      </c>
      <c r="AJ2" s="14">
        <f>'Coffee and food'!AJ20</f>
        <v>45052</v>
      </c>
      <c r="AK2" s="14">
        <f>'Coffee and food'!AK20</f>
        <v>45053</v>
      </c>
      <c r="AL2" s="14">
        <f>'Coffee and food'!AL20</f>
        <v>45054</v>
      </c>
      <c r="AM2" s="14">
        <f>'Coffee and food'!AM20</f>
        <v>45055</v>
      </c>
      <c r="AN2" s="14">
        <f>'Coffee and food'!AN20</f>
        <v>45056</v>
      </c>
      <c r="AO2" s="14">
        <f>'Coffee and food'!AO20</f>
        <v>45057</v>
      </c>
      <c r="AP2" s="14">
        <f>'Coffee and food'!AP20</f>
        <v>45058</v>
      </c>
      <c r="AQ2" s="14">
        <f>'Coffee and food'!AQ20</f>
        <v>45059</v>
      </c>
      <c r="AR2" s="14">
        <f>'Coffee and food'!AR20</f>
        <v>45060</v>
      </c>
      <c r="AS2" s="14">
        <f>'Coffee and food'!AS20</f>
        <v>45061</v>
      </c>
      <c r="AT2" s="14">
        <f>'Coffee and food'!AT20</f>
        <v>45062</v>
      </c>
      <c r="AU2" s="14">
        <f>'Coffee and food'!AU20</f>
        <v>45063</v>
      </c>
      <c r="AV2" s="14">
        <f>'Coffee and food'!AV20</f>
        <v>45064</v>
      </c>
      <c r="AW2" s="14">
        <f>'Coffee and food'!AW20</f>
        <v>45065</v>
      </c>
      <c r="AX2" s="14">
        <f>'Coffee and food'!AX20</f>
        <v>45066</v>
      </c>
      <c r="AY2" s="14">
        <f>'Coffee and food'!AY20</f>
        <v>45067</v>
      </c>
      <c r="AZ2" s="14">
        <f>'Coffee and food'!AZ20</f>
        <v>45068</v>
      </c>
      <c r="BA2" s="14">
        <f>'Coffee and food'!BA20</f>
        <v>45069</v>
      </c>
      <c r="BB2" s="14">
        <f>'Coffee and food'!BB20</f>
        <v>45070</v>
      </c>
      <c r="BC2" s="14">
        <f>'Coffee and food'!BC20</f>
        <v>45071</v>
      </c>
      <c r="BD2" s="14">
        <f>'Coffee and food'!BD20</f>
        <v>45072</v>
      </c>
      <c r="BE2" s="14">
        <f>'Coffee and food'!BE20</f>
        <v>45073</v>
      </c>
      <c r="BF2" s="14">
        <f>'Coffee and food'!BF20</f>
        <v>45074</v>
      </c>
      <c r="BG2" s="14">
        <f>'Coffee and food'!BG20</f>
        <v>45075</v>
      </c>
      <c r="BH2" s="14">
        <f>'Coffee and food'!BH20</f>
        <v>45076</v>
      </c>
      <c r="BI2" s="14">
        <f>'Coffee and food'!BI20</f>
        <v>45077</v>
      </c>
      <c r="BJ2" s="14">
        <f>'Coffee and food'!BJ20</f>
        <v>45078</v>
      </c>
      <c r="BK2" s="14">
        <f>'Coffee and food'!BK20</f>
        <v>45079</v>
      </c>
      <c r="BL2" s="14">
        <f>'Coffee and food'!BL20</f>
        <v>45080</v>
      </c>
      <c r="BM2" s="14">
        <f>'Coffee and food'!BM20</f>
        <v>45081</v>
      </c>
      <c r="BN2" s="14">
        <f>'Coffee and food'!BN20</f>
        <v>45082</v>
      </c>
      <c r="BO2" s="14">
        <f>'Coffee and food'!BO20</f>
        <v>45083</v>
      </c>
      <c r="BP2" s="14">
        <f>'Coffee and food'!BP20</f>
        <v>45084</v>
      </c>
      <c r="BQ2" s="14">
        <f>'Coffee and food'!BQ20</f>
        <v>45085</v>
      </c>
      <c r="BR2" s="14">
        <f>'Coffee and food'!BR20</f>
        <v>45086</v>
      </c>
      <c r="BS2" s="14">
        <f>'Coffee and food'!BS20</f>
        <v>45087</v>
      </c>
      <c r="BT2" s="14">
        <f>'Coffee and food'!BT20</f>
        <v>45088</v>
      </c>
      <c r="BU2" s="14">
        <f>'Coffee and food'!BU20</f>
        <v>45089</v>
      </c>
      <c r="BV2" s="14">
        <f>'Coffee and food'!BV20</f>
        <v>45090</v>
      </c>
      <c r="BW2" s="14">
        <f>'Coffee and food'!BW20</f>
        <v>45091</v>
      </c>
      <c r="BX2" s="14">
        <f>'Coffee and food'!BX20</f>
        <v>45092</v>
      </c>
      <c r="BY2" s="14">
        <f>'Coffee and food'!BY20</f>
        <v>45093</v>
      </c>
      <c r="BZ2" s="14">
        <f>'Coffee and food'!BZ20</f>
        <v>45094</v>
      </c>
      <c r="CA2" s="14">
        <f>'Coffee and food'!CA20</f>
        <v>45095</v>
      </c>
      <c r="CB2" s="14">
        <f>'Coffee and food'!CB20</f>
        <v>45096</v>
      </c>
      <c r="CC2" s="14">
        <f>'Coffee and food'!CC20</f>
        <v>45097</v>
      </c>
      <c r="CD2" s="14">
        <f>'Coffee and food'!CD20</f>
        <v>45098</v>
      </c>
      <c r="CE2" s="14">
        <f>'Coffee and food'!CE20</f>
        <v>45099</v>
      </c>
      <c r="CF2" s="14">
        <f>'Coffee and food'!CF20</f>
        <v>45100</v>
      </c>
      <c r="CG2" s="14">
        <f>'Coffee and food'!CG20</f>
        <v>45101</v>
      </c>
      <c r="CH2" s="14">
        <f>'Coffee and food'!CH20</f>
        <v>45102</v>
      </c>
      <c r="CI2" s="14">
        <f>'Coffee and food'!CI20</f>
        <v>45103</v>
      </c>
      <c r="CJ2" s="14">
        <f>'Coffee and food'!CJ20</f>
        <v>45104</v>
      </c>
      <c r="CK2" s="14">
        <f>'Coffee and food'!CK20</f>
        <v>45105</v>
      </c>
      <c r="CL2" s="14">
        <f>'Coffee and food'!CL20</f>
        <v>45106</v>
      </c>
      <c r="CM2" s="14">
        <f>'Coffee and food'!CM20</f>
        <v>45107</v>
      </c>
      <c r="CN2" s="14">
        <f>'Coffee and food'!CN20</f>
        <v>45108</v>
      </c>
      <c r="CO2" s="14">
        <f>'Coffee and food'!CO20</f>
        <v>45109</v>
      </c>
      <c r="CP2" s="14">
        <f>'Coffee and food'!CP20</f>
        <v>45110</v>
      </c>
      <c r="CQ2" s="14">
        <f>'Coffee and food'!CQ20</f>
        <v>45111</v>
      </c>
      <c r="CR2" s="14">
        <f>'Coffee and food'!CR20</f>
        <v>45112</v>
      </c>
      <c r="CS2" s="14">
        <f>'Coffee and food'!CS20</f>
        <v>45113</v>
      </c>
      <c r="CT2" s="14">
        <f>'Coffee and food'!CT20</f>
        <v>45114</v>
      </c>
      <c r="CU2" s="14">
        <f>'Coffee and food'!CU20</f>
        <v>45115</v>
      </c>
      <c r="CV2" s="14">
        <f>'Coffee and food'!CV20</f>
        <v>45116</v>
      </c>
      <c r="CW2" s="14">
        <f>'Coffee and food'!CW20</f>
        <v>45117</v>
      </c>
      <c r="CX2" s="14">
        <f>'Coffee and food'!CX20</f>
        <v>45118</v>
      </c>
      <c r="CY2" s="14">
        <f>'Coffee and food'!CY20</f>
        <v>45119</v>
      </c>
      <c r="CZ2" s="14">
        <f>'Coffee and food'!CZ20</f>
        <v>45120</v>
      </c>
      <c r="DA2" s="14">
        <f>'Coffee and food'!DA20</f>
        <v>45121</v>
      </c>
      <c r="DB2" s="14">
        <f>'Coffee and food'!DB20</f>
        <v>45122</v>
      </c>
      <c r="DC2" s="14">
        <f>'Coffee and food'!DC20</f>
        <v>45123</v>
      </c>
      <c r="DD2" s="14">
        <f>'Coffee and food'!DD20</f>
        <v>45124</v>
      </c>
      <c r="DE2" s="14">
        <f>'Coffee and food'!DE20</f>
        <v>45125</v>
      </c>
      <c r="DF2" s="14">
        <f>'Coffee and food'!DF20</f>
        <v>45126</v>
      </c>
      <c r="DG2" s="14">
        <f>'Coffee and food'!DG20</f>
        <v>45127</v>
      </c>
      <c r="DH2" s="14">
        <f>'Coffee and food'!DH20</f>
        <v>45128</v>
      </c>
      <c r="DI2" s="14">
        <f>'Coffee and food'!DI20</f>
        <v>45129</v>
      </c>
      <c r="DJ2" s="14">
        <f>'Coffee and food'!DJ20</f>
        <v>45130</v>
      </c>
      <c r="DK2" s="14">
        <f>'Coffee and food'!DK20</f>
        <v>45131</v>
      </c>
      <c r="DL2" s="14">
        <f>'Coffee and food'!DL20</f>
        <v>45132</v>
      </c>
      <c r="DM2" s="14">
        <f>'Coffee and food'!DM20</f>
        <v>45133</v>
      </c>
      <c r="DN2" s="14">
        <f>'Coffee and food'!DN20</f>
        <v>45134</v>
      </c>
      <c r="DO2" s="14">
        <f>'Coffee and food'!DO20</f>
        <v>45135</v>
      </c>
      <c r="DP2" s="14">
        <f>'Coffee and food'!DP20</f>
        <v>45136</v>
      </c>
      <c r="DQ2" s="14">
        <f>'Coffee and food'!DQ20</f>
        <v>45137</v>
      </c>
      <c r="DR2" s="14">
        <f>'Coffee and food'!DR20</f>
        <v>45138</v>
      </c>
      <c r="DS2" s="14">
        <f>'Coffee and food'!DS20</f>
        <v>45139</v>
      </c>
      <c r="DT2" s="14">
        <f>'Coffee and food'!DT20</f>
        <v>45140</v>
      </c>
      <c r="DU2" s="14">
        <f>'Coffee and food'!DU20</f>
        <v>45141</v>
      </c>
      <c r="DV2" s="14">
        <f>'Coffee and food'!DV20</f>
        <v>45142</v>
      </c>
      <c r="DW2" s="14">
        <f>'Coffee and food'!DW20</f>
        <v>45143</v>
      </c>
      <c r="DX2" s="14">
        <f>'Coffee and food'!DX20</f>
        <v>45144</v>
      </c>
      <c r="DY2" s="14">
        <f>'Coffee and food'!DY20</f>
        <v>45145</v>
      </c>
      <c r="DZ2" s="14">
        <f>'Coffee and food'!DZ20</f>
        <v>45146</v>
      </c>
      <c r="EA2" s="14">
        <f>'Coffee and food'!EA20</f>
        <v>45147</v>
      </c>
      <c r="EB2" s="14">
        <f>'Coffee and food'!EB20</f>
        <v>45148</v>
      </c>
      <c r="EC2" s="14">
        <f>'Coffee and food'!EC20</f>
        <v>45149</v>
      </c>
      <c r="ED2" s="14">
        <f>'Coffee and food'!ED20</f>
        <v>45150</v>
      </c>
      <c r="EE2" s="14">
        <f>'Coffee and food'!EE20</f>
        <v>45151</v>
      </c>
      <c r="EF2" s="14">
        <f>'Coffee and food'!EF20</f>
        <v>45152</v>
      </c>
      <c r="EG2" s="14">
        <f>'Coffee and food'!EG20</f>
        <v>45153</v>
      </c>
      <c r="EH2" s="14">
        <f>'Coffee and food'!EH20</f>
        <v>45154</v>
      </c>
      <c r="EI2" s="14">
        <f>'Coffee and food'!EI20</f>
        <v>45155</v>
      </c>
      <c r="EJ2" s="14">
        <f>'Coffee and food'!EJ20</f>
        <v>45156</v>
      </c>
      <c r="EK2" s="14">
        <f>'Coffee and food'!EK20</f>
        <v>45157</v>
      </c>
      <c r="EL2" s="14">
        <f>'Coffee and food'!EL20</f>
        <v>45158</v>
      </c>
      <c r="EM2" s="14">
        <f>'Coffee and food'!EM20</f>
        <v>45159</v>
      </c>
      <c r="EN2" s="14">
        <f>'Coffee and food'!EN20</f>
        <v>45160</v>
      </c>
      <c r="EO2" s="14">
        <f>'Coffee and food'!EO20</f>
        <v>45161</v>
      </c>
      <c r="EP2" s="14">
        <f>'Coffee and food'!EP20</f>
        <v>45162</v>
      </c>
      <c r="EQ2" s="14">
        <f>'Coffee and food'!EQ20</f>
        <v>45163</v>
      </c>
      <c r="ER2" s="14">
        <f>'Coffee and food'!ER20</f>
        <v>45164</v>
      </c>
      <c r="ES2" s="14">
        <f>'Coffee and food'!ES20</f>
        <v>45165</v>
      </c>
      <c r="ET2" s="14">
        <f>'Coffee and food'!ET20</f>
        <v>45166</v>
      </c>
      <c r="EU2" s="14">
        <f>'Coffee and food'!EU20</f>
        <v>45167</v>
      </c>
      <c r="EV2" s="14">
        <f>'Coffee and food'!EV20</f>
        <v>45168</v>
      </c>
      <c r="EW2" s="14">
        <f>'Coffee and food'!EW20</f>
        <v>45169</v>
      </c>
      <c r="EX2" s="14">
        <f>'Coffee and food'!EX20</f>
        <v>45170</v>
      </c>
      <c r="EY2" s="14">
        <f>'Coffee and food'!EY20</f>
        <v>45171</v>
      </c>
      <c r="EZ2" s="14">
        <f>'Coffee and food'!EZ20</f>
        <v>45172</v>
      </c>
      <c r="FA2" s="14">
        <f>'Coffee and food'!FA20</f>
        <v>45173</v>
      </c>
      <c r="FB2" s="14">
        <f>'Coffee and food'!FB20</f>
        <v>45174</v>
      </c>
      <c r="FC2" s="14">
        <f>'Coffee and food'!FC20</f>
        <v>45175</v>
      </c>
      <c r="FD2" s="14">
        <f>'Coffee and food'!FD20</f>
        <v>45176</v>
      </c>
      <c r="FE2" s="14">
        <f>'Coffee and food'!FE20</f>
        <v>45177</v>
      </c>
      <c r="FF2" s="14">
        <f>'Coffee and food'!FF20</f>
        <v>45178</v>
      </c>
      <c r="FG2" s="14">
        <f>'Coffee and food'!FG20</f>
        <v>45179</v>
      </c>
      <c r="FH2" s="14">
        <f>'Coffee and food'!FH20</f>
        <v>45180</v>
      </c>
      <c r="FI2" s="14">
        <f>'Coffee and food'!FI20</f>
        <v>45181</v>
      </c>
      <c r="FJ2" s="14">
        <f>'Coffee and food'!FJ20</f>
        <v>45182</v>
      </c>
      <c r="FK2" s="14">
        <f>'Coffee and food'!FK20</f>
        <v>45183</v>
      </c>
      <c r="FL2" s="14">
        <f>'Coffee and food'!FL20</f>
        <v>45184</v>
      </c>
      <c r="FM2" s="14">
        <f>'Coffee and food'!FM20</f>
        <v>45185</v>
      </c>
      <c r="FN2" s="14">
        <f>'Coffee and food'!FN20</f>
        <v>45186</v>
      </c>
      <c r="FO2" s="14">
        <f>'Coffee and food'!FO20</f>
        <v>45187</v>
      </c>
      <c r="FP2" s="14">
        <f>'Coffee and food'!FP20</f>
        <v>45188</v>
      </c>
      <c r="FQ2" s="14">
        <f>'Coffee and food'!FQ20</f>
        <v>45189</v>
      </c>
      <c r="FR2" s="14">
        <f>'Coffee and food'!FR20</f>
        <v>45190</v>
      </c>
      <c r="FS2" s="14">
        <f>'Coffee and food'!FS20</f>
        <v>45191</v>
      </c>
      <c r="FT2" s="14">
        <f>'Coffee and food'!FT20</f>
        <v>45192</v>
      </c>
      <c r="FU2" s="14">
        <f>'Coffee and food'!FU20</f>
        <v>45193</v>
      </c>
      <c r="FV2" s="14">
        <f>'Coffee and food'!FV20</f>
        <v>45194</v>
      </c>
      <c r="FW2" s="14">
        <f>'Coffee and food'!FW20</f>
        <v>45195</v>
      </c>
      <c r="FX2" s="14">
        <f>'Coffee and food'!FX20</f>
        <v>45196</v>
      </c>
      <c r="FY2" s="14">
        <f>'Coffee and food'!FY20</f>
        <v>45197</v>
      </c>
      <c r="FZ2" s="14">
        <f>'Coffee and food'!FZ20</f>
        <v>45198</v>
      </c>
      <c r="GA2" s="14">
        <f>'Coffee and food'!GA20</f>
        <v>45199</v>
      </c>
      <c r="GB2" s="14">
        <f>'Coffee and food'!GB20</f>
        <v>45200</v>
      </c>
      <c r="GC2" s="14">
        <f>'Coffee and food'!GC20</f>
        <v>45201</v>
      </c>
      <c r="GD2" s="14">
        <f>'Coffee and food'!GD20</f>
        <v>45202</v>
      </c>
      <c r="GE2" s="14">
        <f>'Coffee and food'!GE20</f>
        <v>45203</v>
      </c>
      <c r="GF2" s="14">
        <f>'Coffee and food'!GF20</f>
        <v>45204</v>
      </c>
      <c r="GG2" s="14">
        <f>'Coffee and food'!GG20</f>
        <v>45205</v>
      </c>
      <c r="GH2" s="14">
        <f>'Coffee and food'!GH20</f>
        <v>45206</v>
      </c>
      <c r="GI2" s="14">
        <f>'Coffee and food'!GI20</f>
        <v>45207</v>
      </c>
      <c r="GJ2" s="14">
        <f>'Coffee and food'!GJ20</f>
        <v>45208</v>
      </c>
      <c r="GK2" s="14">
        <f>'Coffee and food'!GK20</f>
        <v>45209</v>
      </c>
      <c r="GL2" s="14">
        <f>'Coffee and food'!GL20</f>
        <v>45210</v>
      </c>
      <c r="GM2" s="14">
        <f>'Coffee and food'!GM20</f>
        <v>45211</v>
      </c>
      <c r="GN2" s="14">
        <f>'Coffee and food'!GN20</f>
        <v>45212</v>
      </c>
      <c r="GO2" s="14">
        <f>'Coffee and food'!GO20</f>
        <v>45213</v>
      </c>
      <c r="GP2" s="14">
        <f>'Coffee and food'!GP20</f>
        <v>45214</v>
      </c>
      <c r="GQ2" s="14">
        <f>'Coffee and food'!GQ20</f>
        <v>45215</v>
      </c>
      <c r="GR2" s="14">
        <f>'Coffee and food'!GR20</f>
        <v>45216</v>
      </c>
      <c r="GS2" s="14">
        <f>'Coffee and food'!GS20</f>
        <v>45217</v>
      </c>
      <c r="GT2" s="14">
        <f>'Coffee and food'!GT20</f>
        <v>45218</v>
      </c>
      <c r="GU2" s="14">
        <f>'Coffee and food'!GU20</f>
        <v>45219</v>
      </c>
      <c r="GV2" s="14">
        <f>'Coffee and food'!GV20</f>
        <v>45220</v>
      </c>
      <c r="GW2" s="14">
        <f>'Coffee and food'!GW20</f>
        <v>45221</v>
      </c>
      <c r="GX2" s="14">
        <f>'Coffee and food'!GX20</f>
        <v>45222</v>
      </c>
      <c r="GY2" s="14">
        <f>'Coffee and food'!GY20</f>
        <v>45223</v>
      </c>
      <c r="GZ2" s="14">
        <f>'Coffee and food'!GZ20</f>
        <v>45224</v>
      </c>
      <c r="HA2" s="14">
        <f>'Coffee and food'!HA20</f>
        <v>45225</v>
      </c>
      <c r="HB2" s="14">
        <f>'Coffee and food'!HB20</f>
        <v>45226</v>
      </c>
      <c r="HC2" s="14">
        <f>'Coffee and food'!HC20</f>
        <v>45227</v>
      </c>
      <c r="HD2" s="14">
        <f>'Coffee and food'!HD20</f>
        <v>45228</v>
      </c>
      <c r="HE2" s="14">
        <f>'Coffee and food'!HE20</f>
        <v>45229</v>
      </c>
      <c r="HF2" s="14">
        <f>'Coffee and food'!HF20</f>
        <v>45230</v>
      </c>
      <c r="HG2" s="14">
        <f>'Coffee and food'!HG20</f>
        <v>45231</v>
      </c>
      <c r="HH2" s="14">
        <f>'Coffee and food'!HH20</f>
        <v>45232</v>
      </c>
      <c r="HI2" s="14">
        <f>'Coffee and food'!HI20</f>
        <v>45233</v>
      </c>
      <c r="HJ2" s="14">
        <f>'Coffee and food'!HJ20</f>
        <v>45234</v>
      </c>
      <c r="HK2" s="14">
        <f>'Coffee and food'!HK20</f>
        <v>45235</v>
      </c>
      <c r="HL2" s="14">
        <f>'Coffee and food'!HL20</f>
        <v>45236</v>
      </c>
      <c r="HM2" s="14">
        <f>'Coffee and food'!HM20</f>
        <v>45237</v>
      </c>
      <c r="HN2" s="14">
        <f>'Coffee and food'!HN20</f>
        <v>45238</v>
      </c>
      <c r="HO2" s="14">
        <f>'Coffee and food'!HO20</f>
        <v>45239</v>
      </c>
      <c r="HP2" s="14">
        <f>'Coffee and food'!HP20</f>
        <v>45240</v>
      </c>
      <c r="HQ2" s="14">
        <f>'Coffee and food'!HQ20</f>
        <v>45241</v>
      </c>
      <c r="HR2" s="14">
        <f>'Coffee and food'!HR20</f>
        <v>45242</v>
      </c>
      <c r="HS2" s="14">
        <f>'Coffee and food'!HS20</f>
        <v>45243</v>
      </c>
      <c r="HT2" s="14">
        <f>'Coffee and food'!HT20</f>
        <v>45244</v>
      </c>
      <c r="HU2" s="14">
        <f>'Coffee and food'!HU20</f>
        <v>45245</v>
      </c>
      <c r="HV2" s="14">
        <f>'Coffee and food'!HV20</f>
        <v>45246</v>
      </c>
      <c r="HW2" s="14">
        <f>'Coffee and food'!HW20</f>
        <v>45247</v>
      </c>
      <c r="HX2" s="14">
        <f>'Coffee and food'!HX20</f>
        <v>45248</v>
      </c>
      <c r="HY2" s="14">
        <f>'Coffee and food'!HY20</f>
        <v>45249</v>
      </c>
      <c r="HZ2" s="14">
        <f>'Coffee and food'!HZ20</f>
        <v>45250</v>
      </c>
      <c r="IA2" s="14">
        <f>'Coffee and food'!IA20</f>
        <v>45251</v>
      </c>
      <c r="IB2" s="14">
        <f>'Coffee and food'!IB20</f>
        <v>45252</v>
      </c>
      <c r="IC2" s="14">
        <f>'Coffee and food'!IC20</f>
        <v>45253</v>
      </c>
      <c r="ID2" s="14">
        <f>'Coffee and food'!ID20</f>
        <v>45254</v>
      </c>
      <c r="IE2" s="14">
        <f>'Coffee and food'!IE20</f>
        <v>45255</v>
      </c>
      <c r="IF2" s="14">
        <f>'Coffee and food'!IF20</f>
        <v>45256</v>
      </c>
      <c r="IG2" s="14">
        <f>'Coffee and food'!IG20</f>
        <v>45257</v>
      </c>
      <c r="IH2" s="14">
        <f>'Coffee and food'!IH20</f>
        <v>45258</v>
      </c>
      <c r="II2" s="14">
        <f>'Coffee and food'!II20</f>
        <v>45259</v>
      </c>
      <c r="IJ2" s="14">
        <f>'Coffee and food'!IJ20</f>
        <v>45260</v>
      </c>
      <c r="IK2" s="14">
        <f>'Coffee and food'!IK20</f>
        <v>45261</v>
      </c>
      <c r="IL2" s="14">
        <f>'Coffee and food'!IL20</f>
        <v>45262</v>
      </c>
      <c r="IM2" s="14">
        <f>'Coffee and food'!IM20</f>
        <v>45263</v>
      </c>
      <c r="IN2" s="14">
        <f>'Coffee and food'!IN20</f>
        <v>45264</v>
      </c>
      <c r="IO2" s="14">
        <f>'Coffee and food'!IO20</f>
        <v>45265</v>
      </c>
      <c r="IP2" s="14">
        <f>'Coffee and food'!IP20</f>
        <v>45266</v>
      </c>
      <c r="IQ2" s="14">
        <f>'Coffee and food'!IQ20</f>
        <v>45267</v>
      </c>
      <c r="IR2" s="14">
        <f>'Coffee and food'!IR20</f>
        <v>45268</v>
      </c>
      <c r="IS2" s="14">
        <f>'Coffee and food'!IS20</f>
        <v>45269</v>
      </c>
      <c r="IT2" s="14">
        <f>'Coffee and food'!IT20</f>
        <v>45270</v>
      </c>
      <c r="IU2" s="14">
        <f>'Coffee and food'!IU20</f>
        <v>45271</v>
      </c>
      <c r="IV2" s="14">
        <f>'Coffee and food'!IV20</f>
        <v>45272</v>
      </c>
      <c r="IW2" s="14">
        <f>'Coffee and food'!IW20</f>
        <v>45273</v>
      </c>
      <c r="IX2" s="14">
        <f>'Coffee and food'!IX20</f>
        <v>45274</v>
      </c>
      <c r="IY2" s="14">
        <f>'Coffee and food'!IY20</f>
        <v>45275</v>
      </c>
      <c r="IZ2" s="14">
        <f>'Coffee and food'!IZ20</f>
        <v>45276</v>
      </c>
      <c r="JA2" s="14">
        <f>'Coffee and food'!JA20</f>
        <v>45277</v>
      </c>
      <c r="JB2" s="14">
        <f>'Coffee and food'!JB20</f>
        <v>45278</v>
      </c>
      <c r="JC2" s="14">
        <f>'Coffee and food'!JC20</f>
        <v>45279</v>
      </c>
      <c r="JD2" s="14">
        <f>'Coffee and food'!JD20</f>
        <v>45280</v>
      </c>
      <c r="JE2" s="14">
        <f>'Coffee and food'!JE20</f>
        <v>45281</v>
      </c>
      <c r="JF2" s="14">
        <f>'Coffee and food'!JF20</f>
        <v>45282</v>
      </c>
      <c r="JG2" s="14">
        <f>'Coffee and food'!JG20</f>
        <v>45283</v>
      </c>
      <c r="JH2" s="14">
        <f>'Coffee and food'!JH20</f>
        <v>45284</v>
      </c>
      <c r="JI2" s="14">
        <f>'Coffee and food'!JI20</f>
        <v>45285</v>
      </c>
      <c r="JJ2" s="14">
        <f>'Coffee and food'!JJ20</f>
        <v>45286</v>
      </c>
      <c r="JK2" s="14">
        <f>'Coffee and food'!JK20</f>
        <v>45287</v>
      </c>
      <c r="JL2" s="14">
        <f>'Coffee and food'!JL20</f>
        <v>45288</v>
      </c>
      <c r="JM2" s="14">
        <f>'Coffee and food'!JM20</f>
        <v>45289</v>
      </c>
      <c r="JN2" s="14">
        <f>'Coffee and food'!JN20</f>
        <v>45290</v>
      </c>
      <c r="JO2" s="14">
        <f>'Coffee and food'!JO20</f>
        <v>45291</v>
      </c>
      <c r="JP2" s="14">
        <f>'Coffee and food'!JP20</f>
        <v>45292</v>
      </c>
      <c r="JQ2" s="14">
        <f>'Coffee and food'!JQ20</f>
        <v>45293</v>
      </c>
      <c r="JR2" s="14">
        <f>'Coffee and food'!JR20</f>
        <v>45294</v>
      </c>
      <c r="JS2" s="14">
        <f>'Coffee and food'!JS20</f>
        <v>45295</v>
      </c>
      <c r="JT2" s="14">
        <f>'Coffee and food'!JT20</f>
        <v>45296</v>
      </c>
      <c r="JU2" s="14">
        <f>'Coffee and food'!JU20</f>
        <v>45297</v>
      </c>
      <c r="JV2" s="14">
        <f>'Coffee and food'!JV20</f>
        <v>45298</v>
      </c>
      <c r="JW2" s="14">
        <f>'Coffee and food'!JW20</f>
        <v>45299</v>
      </c>
      <c r="JX2" s="14">
        <f>'Coffee and food'!JX20</f>
        <v>45300</v>
      </c>
      <c r="JY2" s="14">
        <f>'Coffee and food'!JY20</f>
        <v>45301</v>
      </c>
      <c r="JZ2" s="14">
        <f>'Coffee and food'!JZ20</f>
        <v>45302</v>
      </c>
      <c r="KA2" s="14">
        <f>'Coffee and food'!KA20</f>
        <v>45303</v>
      </c>
      <c r="KB2" s="14">
        <f>'Coffee and food'!KB20</f>
        <v>45304</v>
      </c>
      <c r="KC2" s="14">
        <f>'Coffee and food'!KC20</f>
        <v>45305</v>
      </c>
      <c r="KD2" s="14">
        <f>'Coffee and food'!KD20</f>
        <v>45306</v>
      </c>
      <c r="KE2" s="14">
        <f>'Coffee and food'!KE20</f>
        <v>45307</v>
      </c>
      <c r="KF2" s="14">
        <f>'Coffee and food'!KF20</f>
        <v>45308</v>
      </c>
      <c r="KG2" s="14">
        <f>'Coffee and food'!KG20</f>
        <v>45309</v>
      </c>
      <c r="KH2" s="14">
        <f>'Coffee and food'!KH20</f>
        <v>45310</v>
      </c>
      <c r="KI2" s="14">
        <f>'Coffee and food'!KI20</f>
        <v>45311</v>
      </c>
      <c r="KJ2" s="14">
        <f>'Coffee and food'!KJ20</f>
        <v>45312</v>
      </c>
      <c r="KK2" s="14">
        <f>'Coffee and food'!KK20</f>
        <v>45313</v>
      </c>
      <c r="KL2" s="14">
        <f>'Coffee and food'!KL20</f>
        <v>45314</v>
      </c>
      <c r="KM2" s="14">
        <f>'Coffee and food'!KM20</f>
        <v>45315</v>
      </c>
      <c r="KN2" s="14">
        <f>'Coffee and food'!KN20</f>
        <v>45316</v>
      </c>
      <c r="KO2" s="14">
        <f>'Coffee and food'!KO20</f>
        <v>45317</v>
      </c>
      <c r="KP2" s="14">
        <f>'Coffee and food'!KP20</f>
        <v>45318</v>
      </c>
      <c r="KQ2" s="14">
        <f>'Coffee and food'!KQ20</f>
        <v>45319</v>
      </c>
      <c r="KR2" s="14">
        <f>'Coffee and food'!KR20</f>
        <v>45320</v>
      </c>
      <c r="KS2" s="14">
        <f>'Coffee and food'!KS20</f>
        <v>45321</v>
      </c>
      <c r="KT2" s="14">
        <f>'Coffee and food'!KT20</f>
        <v>45322</v>
      </c>
      <c r="KU2" s="14">
        <f>'Coffee and food'!KU20</f>
        <v>45323</v>
      </c>
      <c r="KV2" s="14">
        <f>'Coffee and food'!KV20</f>
        <v>45324</v>
      </c>
      <c r="KW2" s="14">
        <f>'Coffee and food'!KW20</f>
        <v>45325</v>
      </c>
      <c r="KX2" s="14">
        <f>'Coffee and food'!KX20</f>
        <v>45326</v>
      </c>
      <c r="KY2" s="14">
        <f>'Coffee and food'!KY20</f>
        <v>45327</v>
      </c>
      <c r="KZ2" s="14">
        <f>'Coffee and food'!KZ20</f>
        <v>45328</v>
      </c>
      <c r="LA2" s="14">
        <f>'Coffee and food'!LA20</f>
        <v>45329</v>
      </c>
      <c r="LB2" s="14">
        <f>'Coffee and food'!LB20</f>
        <v>45330</v>
      </c>
      <c r="LC2" s="14">
        <f>'Coffee and food'!LC20</f>
        <v>45331</v>
      </c>
      <c r="LD2" s="14">
        <f>'Coffee and food'!LD20</f>
        <v>45332</v>
      </c>
      <c r="LE2" s="14">
        <f>'Coffee and food'!LE20</f>
        <v>45333</v>
      </c>
      <c r="LF2" s="14">
        <f>'Coffee and food'!LF20</f>
        <v>45334</v>
      </c>
      <c r="LG2" s="14">
        <f>'Coffee and food'!LG20</f>
        <v>45335</v>
      </c>
      <c r="LH2" s="14">
        <f>'Coffee and food'!LH20</f>
        <v>45336</v>
      </c>
      <c r="LI2" s="14">
        <f>'Coffee and food'!LI20</f>
        <v>45337</v>
      </c>
      <c r="LJ2" s="14">
        <f>'Coffee and food'!LJ20</f>
        <v>45338</v>
      </c>
      <c r="LK2" s="14">
        <f>'Coffee and food'!LK20</f>
        <v>45339</v>
      </c>
      <c r="LL2" s="14">
        <f>'Coffee and food'!LL20</f>
        <v>45340</v>
      </c>
      <c r="LM2" s="14">
        <f>'Coffee and food'!LM20</f>
        <v>45341</v>
      </c>
      <c r="LN2" s="14">
        <f>'Coffee and food'!LN20</f>
        <v>45342</v>
      </c>
      <c r="LO2" s="14">
        <f>'Coffee and food'!LO20</f>
        <v>45343</v>
      </c>
      <c r="LP2" s="14">
        <f>'Coffee and food'!LP20</f>
        <v>45344</v>
      </c>
      <c r="LQ2" s="14">
        <f>'Coffee and food'!LQ20</f>
        <v>45345</v>
      </c>
      <c r="LR2" s="14">
        <f>'Coffee and food'!LR20</f>
        <v>45346</v>
      </c>
      <c r="LS2" s="14">
        <f>'Coffee and food'!LS20</f>
        <v>45347</v>
      </c>
      <c r="LT2" s="14">
        <f>'Coffee and food'!LT20</f>
        <v>45348</v>
      </c>
      <c r="LU2" s="14">
        <f>'Coffee and food'!LU20</f>
        <v>45349</v>
      </c>
      <c r="LV2" s="14">
        <f>'Coffee and food'!LV20</f>
        <v>45350</v>
      </c>
      <c r="LW2" s="14">
        <f>'Coffee and food'!LW20</f>
        <v>45351</v>
      </c>
      <c r="LX2" s="14">
        <f>'Coffee and food'!LX20</f>
        <v>45352</v>
      </c>
      <c r="LY2" s="14">
        <f>'Coffee and food'!LY20</f>
        <v>45353</v>
      </c>
      <c r="LZ2" s="14">
        <f>'Coffee and food'!LZ20</f>
        <v>45354</v>
      </c>
      <c r="MA2" s="14">
        <f>'Coffee and food'!MA20</f>
        <v>45355</v>
      </c>
      <c r="MB2" s="14">
        <f>'Coffee and food'!MB20</f>
        <v>45356</v>
      </c>
      <c r="MC2" s="14">
        <f>'Coffee and food'!MC20</f>
        <v>45357</v>
      </c>
      <c r="MD2" s="14">
        <f>'Coffee and food'!MD20</f>
        <v>45358</v>
      </c>
      <c r="ME2" s="14">
        <f>'Coffee and food'!ME20</f>
        <v>45359</v>
      </c>
      <c r="MF2" s="14">
        <f>'Coffee and food'!MF20</f>
        <v>45360</v>
      </c>
      <c r="MG2" s="14">
        <f>'Coffee and food'!MG20</f>
        <v>45361</v>
      </c>
      <c r="MH2" s="14">
        <f>'Coffee and food'!MH20</f>
        <v>45362</v>
      </c>
      <c r="MI2" s="14">
        <f>'Coffee and food'!MI20</f>
        <v>45363</v>
      </c>
      <c r="MJ2" s="14">
        <f>'Coffee and food'!MJ20</f>
        <v>45364</v>
      </c>
      <c r="MK2" s="14">
        <f>'Coffee and food'!MK20</f>
        <v>45365</v>
      </c>
      <c r="ML2" s="14">
        <f>'Coffee and food'!ML20</f>
        <v>45366</v>
      </c>
      <c r="MM2" s="14">
        <f>'Coffee and food'!MM20</f>
        <v>45367</v>
      </c>
      <c r="MN2" s="14">
        <f>'Coffee and food'!MN20</f>
        <v>45368</v>
      </c>
      <c r="MO2" s="14">
        <f>'Coffee and food'!MO20</f>
        <v>45369</v>
      </c>
      <c r="MP2" s="14">
        <f>'Coffee and food'!MP20</f>
        <v>45370</v>
      </c>
      <c r="MQ2" s="14">
        <f>'Coffee and food'!MQ20</f>
        <v>45371</v>
      </c>
      <c r="MR2" s="14">
        <f>'Coffee and food'!MR20</f>
        <v>45372</v>
      </c>
      <c r="MS2" s="14">
        <f>'Coffee and food'!MS20</f>
        <v>45373</v>
      </c>
      <c r="MT2" s="14">
        <f>'Coffee and food'!MT20</f>
        <v>45374</v>
      </c>
      <c r="MU2" s="14">
        <f>'Coffee and food'!MU20</f>
        <v>45375</v>
      </c>
      <c r="MV2" s="14">
        <f>'Coffee and food'!MV20</f>
        <v>45376</v>
      </c>
      <c r="MW2" s="14">
        <f>'Coffee and food'!MW20</f>
        <v>45377</v>
      </c>
      <c r="MX2" s="14">
        <f>'Coffee and food'!MX20</f>
        <v>45378</v>
      </c>
      <c r="MY2" s="14">
        <f>'Coffee and food'!MY20</f>
        <v>45379</v>
      </c>
      <c r="MZ2" s="14">
        <f>'Coffee and food'!MZ20</f>
        <v>45380</v>
      </c>
      <c r="NA2" s="14">
        <f>'Coffee and food'!NA20</f>
        <v>45381</v>
      </c>
      <c r="NB2" s="14">
        <f>'Coffee and food'!NB20</f>
        <v>45382</v>
      </c>
      <c r="NC2" s="14">
        <f>'Coffee and food'!NC20</f>
        <v>45383</v>
      </c>
      <c r="ND2" s="14">
        <f>'Coffee and food'!ND20</f>
        <v>45384</v>
      </c>
      <c r="NE2" s="14">
        <f>'Coffee and food'!NE20</f>
        <v>45385</v>
      </c>
      <c r="NF2" s="14">
        <f>'Coffee and food'!NF20</f>
        <v>45386</v>
      </c>
      <c r="NG2" s="14">
        <f>'Coffee and food'!NG20</f>
        <v>45387</v>
      </c>
      <c r="NH2" s="14">
        <f>'Coffee and food'!NH20</f>
        <v>45388</v>
      </c>
      <c r="NI2" s="14">
        <f>'Coffee and food'!NI20</f>
        <v>45389</v>
      </c>
      <c r="NJ2" s="14">
        <f>'Coffee and food'!NJ20</f>
        <v>45390</v>
      </c>
      <c r="NK2" s="14">
        <f>'Coffee and food'!NK20</f>
        <v>45391</v>
      </c>
      <c r="NL2" s="14">
        <f>'Coffee and food'!NL20</f>
        <v>45392</v>
      </c>
      <c r="NM2" s="14">
        <f>'Coffee and food'!NM20</f>
        <v>45393</v>
      </c>
      <c r="NN2" s="14">
        <f>'Coffee and food'!NN20</f>
        <v>45394</v>
      </c>
      <c r="NO2" s="14">
        <f>'Coffee and food'!NO20</f>
        <v>45395</v>
      </c>
      <c r="NP2" s="14">
        <f>'Coffee and food'!NP20</f>
        <v>45396</v>
      </c>
      <c r="NQ2" s="14">
        <f>'Coffee and food'!NQ20</f>
        <v>45397</v>
      </c>
      <c r="NR2" s="14">
        <f>'Coffee and food'!NR20</f>
        <v>45398</v>
      </c>
      <c r="NS2" s="14">
        <f>'Coffee and food'!NS20</f>
        <v>45399</v>
      </c>
      <c r="NT2" s="14">
        <f>'Coffee and food'!NT20</f>
        <v>45400</v>
      </c>
      <c r="NU2" s="14">
        <f>'Coffee and food'!NU20</f>
        <v>45401</v>
      </c>
      <c r="NV2" s="14">
        <f>'Coffee and food'!NV20</f>
        <v>45402</v>
      </c>
      <c r="NW2" s="14">
        <f>'Coffee and food'!NW20</f>
        <v>45403</v>
      </c>
      <c r="NX2" s="14">
        <f>'Coffee and food'!NX20</f>
        <v>45404</v>
      </c>
      <c r="NY2" s="14">
        <f>'Coffee and food'!NY20</f>
        <v>45405</v>
      </c>
      <c r="NZ2" s="14">
        <f>'Coffee and food'!NZ20</f>
        <v>45406</v>
      </c>
      <c r="OA2" s="14">
        <f>'Coffee and food'!OA20</f>
        <v>45407</v>
      </c>
      <c r="OB2" s="14">
        <f>'Coffee and food'!OB20</f>
        <v>45408</v>
      </c>
      <c r="OC2" s="14">
        <f>'Coffee and food'!OC20</f>
        <v>45409</v>
      </c>
      <c r="OD2" s="14">
        <f>'Coffee and food'!OD20</f>
        <v>45410</v>
      </c>
      <c r="OE2" s="14">
        <f>'Coffee and food'!OE20</f>
        <v>45411</v>
      </c>
      <c r="OF2" s="14">
        <f>'Coffee and food'!OF20</f>
        <v>45412</v>
      </c>
      <c r="OG2" s="14">
        <f>'Coffee and food'!OG20</f>
        <v>45413</v>
      </c>
      <c r="OH2" s="14">
        <f>'Coffee and food'!OH20</f>
        <v>45414</v>
      </c>
      <c r="OI2" s="14">
        <f>'Coffee and food'!OI20</f>
        <v>45415</v>
      </c>
      <c r="OJ2" s="14">
        <f>'Coffee and food'!OJ20</f>
        <v>45416</v>
      </c>
      <c r="OK2" s="14">
        <f>'Coffee and food'!OK20</f>
        <v>45417</v>
      </c>
      <c r="OL2" s="14">
        <f>'Coffee and food'!OL20</f>
        <v>45418</v>
      </c>
      <c r="OM2" s="14">
        <f>'Coffee and food'!OM20</f>
        <v>45419</v>
      </c>
      <c r="ON2" s="14">
        <f>'Coffee and food'!ON20</f>
        <v>45420</v>
      </c>
      <c r="OO2" s="14">
        <f>'Coffee and food'!OO20</f>
        <v>45421</v>
      </c>
      <c r="OP2" s="14">
        <f>'Coffee and food'!OP20</f>
        <v>45422</v>
      </c>
      <c r="OQ2" s="14">
        <f>'Coffee and food'!OQ20</f>
        <v>45423</v>
      </c>
      <c r="OR2" s="14">
        <f>'Coffee and food'!OR20</f>
        <v>45424</v>
      </c>
      <c r="OS2" s="14">
        <f>'Coffee and food'!OS20</f>
        <v>45425</v>
      </c>
      <c r="OT2" s="14">
        <f>'Coffee and food'!OT20</f>
        <v>45426</v>
      </c>
      <c r="OU2" s="14">
        <f>'Coffee and food'!OU20</f>
        <v>45427</v>
      </c>
      <c r="OV2" s="14">
        <f>'Coffee and food'!OV20</f>
        <v>45428</v>
      </c>
      <c r="OW2" s="14">
        <f>'Coffee and food'!OW20</f>
        <v>45429</v>
      </c>
      <c r="OX2" s="14">
        <f>'Coffee and food'!OX20</f>
        <v>45430</v>
      </c>
      <c r="OY2" s="14">
        <f>'Coffee and food'!OY20</f>
        <v>45431</v>
      </c>
      <c r="OZ2" s="14">
        <f>'Coffee and food'!OZ20</f>
        <v>45432</v>
      </c>
      <c r="PA2" s="14">
        <f>'Coffee and food'!PA20</f>
        <v>45433</v>
      </c>
      <c r="PB2" s="14">
        <f>'Coffee and food'!PB20</f>
        <v>45434</v>
      </c>
      <c r="PC2" s="14">
        <f>'Coffee and food'!PC20</f>
        <v>45435</v>
      </c>
      <c r="PD2" s="14">
        <f>'Coffee and food'!PD20</f>
        <v>45436</v>
      </c>
      <c r="PE2" s="14">
        <f>'Coffee and food'!PE20</f>
        <v>45437</v>
      </c>
      <c r="PF2" s="14">
        <f>'Coffee and food'!PF20</f>
        <v>45438</v>
      </c>
      <c r="PG2" s="14">
        <f>'Coffee and food'!PG20</f>
        <v>45439</v>
      </c>
      <c r="PH2" s="14">
        <f>'Coffee and food'!PH20</f>
        <v>45440</v>
      </c>
      <c r="PI2" s="14">
        <f>'Coffee and food'!PI20</f>
        <v>45441</v>
      </c>
      <c r="PJ2" s="14">
        <f>'Coffee and food'!PJ20</f>
        <v>45442</v>
      </c>
      <c r="PK2" s="14">
        <f>'Coffee and food'!PK20</f>
        <v>45443</v>
      </c>
      <c r="PL2" s="14">
        <f>'Coffee and food'!PL20</f>
        <v>45444</v>
      </c>
      <c r="PM2" s="14">
        <f>'Coffee and food'!PM20</f>
        <v>45445</v>
      </c>
      <c r="PN2" s="14">
        <f>'Coffee and food'!PN20</f>
        <v>45446</v>
      </c>
      <c r="PO2" s="14">
        <f>'Coffee and food'!PO20</f>
        <v>45447</v>
      </c>
      <c r="PP2" s="14">
        <f>'Coffee and food'!PP20</f>
        <v>45448</v>
      </c>
      <c r="PQ2" s="14">
        <f>'Coffee and food'!PQ20</f>
        <v>45449</v>
      </c>
      <c r="PR2" s="14">
        <f>'Coffee and food'!PR20</f>
        <v>45450</v>
      </c>
      <c r="PS2" s="14">
        <f>'Coffee and food'!PS20</f>
        <v>45451</v>
      </c>
      <c r="PT2" s="14">
        <f>'Coffee and food'!PT20</f>
        <v>45452</v>
      </c>
      <c r="PU2" s="14">
        <f>'Coffee and food'!PU20</f>
        <v>45453</v>
      </c>
      <c r="PV2" s="14">
        <f>'Coffee and food'!PV20</f>
        <v>45454</v>
      </c>
      <c r="PW2" s="14">
        <f>'Coffee and food'!PW20</f>
        <v>45455</v>
      </c>
      <c r="PX2" s="14">
        <f>'Coffee and food'!PX20</f>
        <v>45456</v>
      </c>
      <c r="PY2" s="14">
        <f>'Coffee and food'!PY20</f>
        <v>45457</v>
      </c>
      <c r="PZ2" s="14">
        <f>'Coffee and food'!PZ20</f>
        <v>45458</v>
      </c>
      <c r="QA2" s="14">
        <f>'Coffee and food'!QA20</f>
        <v>45459</v>
      </c>
      <c r="QB2" s="14">
        <f>'Coffee and food'!QB20</f>
        <v>45460</v>
      </c>
      <c r="QC2" s="14">
        <f>'Coffee and food'!QC20</f>
        <v>45461</v>
      </c>
      <c r="QD2" s="14">
        <f>'Coffee and food'!QD20</f>
        <v>45462</v>
      </c>
      <c r="QE2" s="14">
        <f>'Coffee and food'!QE20</f>
        <v>45463</v>
      </c>
      <c r="QF2" s="14">
        <f>'Coffee and food'!QF20</f>
        <v>45464</v>
      </c>
      <c r="QG2" s="14">
        <f>'Coffee and food'!QG20</f>
        <v>45465</v>
      </c>
      <c r="QH2" s="14">
        <f>'Coffee and food'!QH20</f>
        <v>45466</v>
      </c>
      <c r="QI2" s="14">
        <f>'Coffee and food'!QI20</f>
        <v>45467</v>
      </c>
      <c r="QJ2" s="14">
        <f>'Coffee and food'!QJ20</f>
        <v>45468</v>
      </c>
      <c r="QK2" s="14">
        <f>'Coffee and food'!QK20</f>
        <v>45469</v>
      </c>
      <c r="QL2" s="14">
        <f>'Coffee and food'!QL20</f>
        <v>45470</v>
      </c>
      <c r="QM2" s="14">
        <f>'Coffee and food'!QM20</f>
        <v>45471</v>
      </c>
      <c r="QN2" s="14">
        <f>'Coffee and food'!QN20</f>
        <v>45472</v>
      </c>
      <c r="QO2" s="14">
        <f>'Coffee and food'!QO20</f>
        <v>45473</v>
      </c>
      <c r="QP2" s="14">
        <f>'Coffee and food'!QP20</f>
        <v>45474</v>
      </c>
      <c r="QQ2" s="14">
        <f>'Coffee and food'!QQ20</f>
        <v>45475</v>
      </c>
      <c r="QR2" s="14">
        <f>'Coffee and food'!QR20</f>
        <v>45476</v>
      </c>
      <c r="QS2" s="14">
        <f>'Coffee and food'!QS20</f>
        <v>45477</v>
      </c>
      <c r="QT2" s="14">
        <f>'Coffee and food'!QT20</f>
        <v>45478</v>
      </c>
      <c r="QU2" s="14">
        <f>'Coffee and food'!QU20</f>
        <v>45479</v>
      </c>
      <c r="QV2" s="14">
        <f>'Coffee and food'!QV20</f>
        <v>45480</v>
      </c>
      <c r="QW2" s="14">
        <f>'Coffee and food'!QW20</f>
        <v>45481</v>
      </c>
      <c r="QX2" s="14">
        <f>'Coffee and food'!QX20</f>
        <v>45482</v>
      </c>
      <c r="QY2" s="14">
        <f>'Coffee and food'!QY20</f>
        <v>45483</v>
      </c>
      <c r="QZ2" s="14">
        <f>'Coffee and food'!QZ20</f>
        <v>45484</v>
      </c>
      <c r="RA2" s="14">
        <f>'Coffee and food'!RA20</f>
        <v>45485</v>
      </c>
      <c r="RB2" s="14">
        <f>'Coffee and food'!RB20</f>
        <v>45486</v>
      </c>
      <c r="RC2" s="14">
        <f>'Coffee and food'!RC20</f>
        <v>45487</v>
      </c>
      <c r="RD2" s="14">
        <f>'Coffee and food'!RD20</f>
        <v>45488</v>
      </c>
      <c r="RE2" s="14">
        <f>'Coffee and food'!RE20</f>
        <v>45489</v>
      </c>
      <c r="RF2" s="14">
        <f>'Coffee and food'!RF20</f>
        <v>45490</v>
      </c>
      <c r="RG2" s="14">
        <f>'Coffee and food'!RG20</f>
        <v>45491</v>
      </c>
      <c r="RH2" s="14">
        <f>'Coffee and food'!RH20</f>
        <v>45492</v>
      </c>
      <c r="RI2" s="14">
        <f>'Coffee and food'!RI20</f>
        <v>45493</v>
      </c>
      <c r="RJ2" s="14">
        <f>'Coffee and food'!RJ20</f>
        <v>45494</v>
      </c>
      <c r="RK2" s="14">
        <f>'Coffee and food'!RK20</f>
        <v>45495</v>
      </c>
      <c r="RL2" s="14">
        <f>'Coffee and food'!RL20</f>
        <v>45496</v>
      </c>
      <c r="RM2" s="14">
        <f>'Coffee and food'!RM20</f>
        <v>45497</v>
      </c>
      <c r="RN2" s="14">
        <f>'Coffee and food'!RN20</f>
        <v>45498</v>
      </c>
      <c r="RO2" s="14">
        <f>'Coffee and food'!RO20</f>
        <v>45499</v>
      </c>
      <c r="RP2" s="14">
        <f>'Coffee and food'!RP20</f>
        <v>45500</v>
      </c>
      <c r="RQ2" s="14">
        <f>'Coffee and food'!RQ20</f>
        <v>45501</v>
      </c>
      <c r="RR2" s="14">
        <f>'Coffee and food'!RR20</f>
        <v>45502</v>
      </c>
      <c r="RS2" s="14">
        <f>'Coffee and food'!RS20</f>
        <v>45503</v>
      </c>
      <c r="RT2" s="14">
        <f>'Coffee and food'!RT20</f>
        <v>45504</v>
      </c>
      <c r="RU2" s="14">
        <f>'Coffee and food'!RU20</f>
        <v>45505</v>
      </c>
      <c r="RV2" s="14">
        <f>'Coffee and food'!RV20</f>
        <v>45506</v>
      </c>
      <c r="RW2" s="14">
        <f>'Coffee and food'!RW20</f>
        <v>45507</v>
      </c>
      <c r="RX2" s="14">
        <f>'Coffee and food'!RX20</f>
        <v>45508</v>
      </c>
      <c r="RY2" s="14">
        <f>'Coffee and food'!RY20</f>
        <v>45509</v>
      </c>
      <c r="RZ2" s="14">
        <f>'Coffee and food'!RZ20</f>
        <v>45510</v>
      </c>
      <c r="SA2" s="14">
        <f>'Coffee and food'!SA20</f>
        <v>45511</v>
      </c>
      <c r="SB2" s="14">
        <f>'Coffee and food'!SB20</f>
        <v>45512</v>
      </c>
      <c r="SC2" s="14">
        <f>'Coffee and food'!SC20</f>
        <v>45513</v>
      </c>
      <c r="SD2" s="14">
        <f>'Coffee and food'!SD20</f>
        <v>45514</v>
      </c>
      <c r="SE2" s="14">
        <f>'Coffee and food'!SE20</f>
        <v>45515</v>
      </c>
      <c r="SF2" s="14">
        <f>'Coffee and food'!SF20</f>
        <v>45516</v>
      </c>
      <c r="SG2" s="14">
        <f>'Coffee and food'!SG20</f>
        <v>45517</v>
      </c>
      <c r="SH2" s="14">
        <f>'Coffee and food'!SH20</f>
        <v>45518</v>
      </c>
      <c r="SI2" s="14">
        <f>'Coffee and food'!SI20</f>
        <v>45519</v>
      </c>
      <c r="SJ2" s="14">
        <f>'Coffee and food'!SJ20</f>
        <v>45520</v>
      </c>
      <c r="SK2" s="14">
        <f>'Coffee and food'!SK20</f>
        <v>45521</v>
      </c>
      <c r="SL2" s="14">
        <f>'Coffee and food'!SL20</f>
        <v>45522</v>
      </c>
      <c r="SM2" s="14">
        <f>'Coffee and food'!SM20</f>
        <v>45523</v>
      </c>
      <c r="SN2" s="14">
        <f>'Coffee and food'!SN20</f>
        <v>45524</v>
      </c>
      <c r="SO2" s="14">
        <f>'Coffee and food'!SO20</f>
        <v>45525</v>
      </c>
      <c r="SP2" s="14">
        <f>'Coffee and food'!SP20</f>
        <v>45526</v>
      </c>
      <c r="SQ2" s="14">
        <f>'Coffee and food'!SQ20</f>
        <v>45527</v>
      </c>
      <c r="SR2" s="14">
        <f>'Coffee and food'!SR20</f>
        <v>45528</v>
      </c>
      <c r="SS2" s="14">
        <f>'Coffee and food'!SS20</f>
        <v>45529</v>
      </c>
      <c r="ST2" s="14">
        <f>'Coffee and food'!ST20</f>
        <v>45530</v>
      </c>
      <c r="SU2" s="14">
        <f>'Coffee and food'!SU20</f>
        <v>45531</v>
      </c>
      <c r="SV2" s="14">
        <f>'Coffee and food'!SV20</f>
        <v>45532</v>
      </c>
      <c r="SW2" s="14">
        <f>'Coffee and food'!SW20</f>
        <v>45533</v>
      </c>
      <c r="SX2" s="14">
        <f>'Coffee and food'!SX20</f>
        <v>45534</v>
      </c>
      <c r="SY2" s="14">
        <f>'Coffee and food'!SY20</f>
        <v>45535</v>
      </c>
      <c r="SZ2" s="14">
        <f>'Coffee and food'!SZ20</f>
        <v>45536</v>
      </c>
      <c r="TA2" s="14">
        <f>'Coffee and food'!TA20</f>
        <v>45537</v>
      </c>
      <c r="TB2" s="14">
        <f>'Coffee and food'!TB20</f>
        <v>45538</v>
      </c>
      <c r="TC2" s="14">
        <f>'Coffee and food'!TC20</f>
        <v>45539</v>
      </c>
      <c r="TD2" s="14">
        <f>'Coffee and food'!TD20</f>
        <v>45540</v>
      </c>
      <c r="TE2" s="14">
        <f>'Coffee and food'!TE20</f>
        <v>45541</v>
      </c>
      <c r="TF2" s="14">
        <f>'Coffee and food'!TF20</f>
        <v>45542</v>
      </c>
      <c r="TG2" s="14">
        <f>'Coffee and food'!TG20</f>
        <v>45543</v>
      </c>
      <c r="TH2" s="14">
        <f>'Coffee and food'!TH20</f>
        <v>45544</v>
      </c>
      <c r="TI2" s="14">
        <f>'Coffee and food'!TI20</f>
        <v>45545</v>
      </c>
      <c r="TJ2" s="14">
        <f>'Coffee and food'!TJ20</f>
        <v>45546</v>
      </c>
      <c r="TK2" s="14">
        <f>'Coffee and food'!TK20</f>
        <v>45547</v>
      </c>
      <c r="TL2" s="14">
        <f>'Coffee and food'!TL20</f>
        <v>45548</v>
      </c>
      <c r="TM2" s="14">
        <f>'Coffee and food'!TM20</f>
        <v>45549</v>
      </c>
      <c r="TN2" s="14">
        <f>'Coffee and food'!TN20</f>
        <v>45550</v>
      </c>
      <c r="TO2" s="14">
        <f>'Coffee and food'!TO20</f>
        <v>45551</v>
      </c>
      <c r="TP2" s="14">
        <f>'Coffee and food'!TP20</f>
        <v>45552</v>
      </c>
      <c r="TQ2" s="14">
        <f>'Coffee and food'!TQ20</f>
        <v>45553</v>
      </c>
      <c r="TR2" s="14">
        <f>'Coffee and food'!TR20</f>
        <v>45554</v>
      </c>
      <c r="TS2" s="14">
        <f>'Coffee and food'!TS20</f>
        <v>45555</v>
      </c>
      <c r="TT2" s="14">
        <f>'Coffee and food'!TT20</f>
        <v>45556</v>
      </c>
      <c r="TU2" s="14">
        <f>'Coffee and food'!TU20</f>
        <v>45557</v>
      </c>
      <c r="TV2" s="14">
        <f>'Coffee and food'!TV20</f>
        <v>45558</v>
      </c>
      <c r="TW2" s="14">
        <f>'Coffee and food'!TW20</f>
        <v>45559</v>
      </c>
      <c r="TX2" s="14">
        <f>'Coffee and food'!TX20</f>
        <v>45560</v>
      </c>
      <c r="TY2" s="14">
        <f>'Coffee and food'!TY20</f>
        <v>45561</v>
      </c>
      <c r="TZ2" s="14">
        <f>'Coffee and food'!TZ20</f>
        <v>45562</v>
      </c>
      <c r="UA2" s="14">
        <f>'Coffee and food'!UA20</f>
        <v>45563</v>
      </c>
      <c r="UB2" s="14">
        <f>'Coffee and food'!UB20</f>
        <v>45564</v>
      </c>
      <c r="UC2" s="14">
        <f>'Coffee and food'!UC20</f>
        <v>45565</v>
      </c>
      <c r="UD2" s="14">
        <f>'Coffee and food'!UD20</f>
        <v>45566</v>
      </c>
      <c r="UE2" s="14">
        <f>'Coffee and food'!UE20</f>
        <v>45567</v>
      </c>
      <c r="UF2" s="14">
        <f>'Coffee and food'!UF20</f>
        <v>45568</v>
      </c>
      <c r="UG2" s="14">
        <f>'Coffee and food'!UG20</f>
        <v>45569</v>
      </c>
      <c r="UH2" s="14">
        <f>'Coffee and food'!UH20</f>
        <v>45570</v>
      </c>
      <c r="UI2" s="14">
        <f>'Coffee and food'!UI20</f>
        <v>45571</v>
      </c>
      <c r="UJ2" s="14">
        <f>'Coffee and food'!UJ20</f>
        <v>45572</v>
      </c>
      <c r="UK2" s="14">
        <f>'Coffee and food'!UK20</f>
        <v>45573</v>
      </c>
      <c r="UL2" s="14">
        <f>'Coffee and food'!UL20</f>
        <v>45574</v>
      </c>
      <c r="UM2" s="14">
        <f>'Coffee and food'!UM20</f>
        <v>45575</v>
      </c>
      <c r="UN2" s="14">
        <f>'Coffee and food'!UN20</f>
        <v>45576</v>
      </c>
      <c r="UO2" s="14">
        <f>'Coffee and food'!UO20</f>
        <v>45577</v>
      </c>
      <c r="UP2" s="14">
        <f>'Coffee and food'!UP20</f>
        <v>45578</v>
      </c>
      <c r="UQ2" s="14">
        <f>'Coffee and food'!UQ20</f>
        <v>45579</v>
      </c>
      <c r="UR2" s="14">
        <f>'Coffee and food'!UR20</f>
        <v>45580</v>
      </c>
      <c r="US2" s="14">
        <f>'Coffee and food'!US20</f>
        <v>45581</v>
      </c>
      <c r="UT2" s="14">
        <f>'Coffee and food'!UT20</f>
        <v>45582</v>
      </c>
      <c r="UU2" s="14">
        <f>'Coffee and food'!UU20</f>
        <v>45583</v>
      </c>
      <c r="UV2" s="14">
        <f>'Coffee and food'!UV20</f>
        <v>45584</v>
      </c>
      <c r="UW2" s="14">
        <f>'Coffee and food'!UW20</f>
        <v>45585</v>
      </c>
      <c r="UX2" s="14">
        <f>'Coffee and food'!UX20</f>
        <v>45586</v>
      </c>
      <c r="UY2" s="14">
        <f>'Coffee and food'!UY20</f>
        <v>45587</v>
      </c>
      <c r="UZ2" s="14">
        <f>'Coffee and food'!UZ20</f>
        <v>45588</v>
      </c>
      <c r="VA2" s="14">
        <f>'Coffee and food'!VA20</f>
        <v>45589</v>
      </c>
      <c r="VB2" s="14">
        <f>'Coffee and food'!VB20</f>
        <v>45590</v>
      </c>
      <c r="VC2" s="14">
        <f>'Coffee and food'!VC20</f>
        <v>45591</v>
      </c>
      <c r="VD2" s="14">
        <f>'Coffee and food'!VD20</f>
        <v>45592</v>
      </c>
      <c r="VE2" s="14">
        <f>'Coffee and food'!VE20</f>
        <v>45593</v>
      </c>
      <c r="VF2" s="14">
        <f>'Coffee and food'!VF20</f>
        <v>45594</v>
      </c>
      <c r="VG2" s="14">
        <f>'Coffee and food'!VG20</f>
        <v>45595</v>
      </c>
      <c r="VH2" s="14">
        <f>'Coffee and food'!VH20</f>
        <v>45596</v>
      </c>
      <c r="VI2" s="14">
        <f>'Coffee and food'!VI20</f>
        <v>45597</v>
      </c>
      <c r="VJ2" s="14">
        <f>'Coffee and food'!VJ20</f>
        <v>45598</v>
      </c>
      <c r="VK2" s="14">
        <f>'Coffee and food'!VK20</f>
        <v>45599</v>
      </c>
      <c r="VL2" s="14">
        <f>'Coffee and food'!VL20</f>
        <v>45600</v>
      </c>
      <c r="VM2" s="14">
        <f>'Coffee and food'!VM20</f>
        <v>45601</v>
      </c>
      <c r="VN2" s="14">
        <f>'Coffee and food'!VN20</f>
        <v>45602</v>
      </c>
      <c r="VO2" s="14">
        <f>'Coffee and food'!VO20</f>
        <v>45603</v>
      </c>
      <c r="VP2" s="14">
        <f>'Coffee and food'!VP20</f>
        <v>45604</v>
      </c>
      <c r="VQ2" s="14">
        <f>'Coffee and food'!VQ20</f>
        <v>45605</v>
      </c>
      <c r="VR2" s="14">
        <f>'Coffee and food'!VR20</f>
        <v>45606</v>
      </c>
      <c r="VS2" s="14">
        <f>'Coffee and food'!VS20</f>
        <v>45607</v>
      </c>
      <c r="VT2" s="14">
        <f>'Coffee and food'!VT20</f>
        <v>45608</v>
      </c>
      <c r="VU2" s="14">
        <f>'Coffee and food'!VU20</f>
        <v>45609</v>
      </c>
      <c r="VV2" s="14">
        <f>'Coffee and food'!VV20</f>
        <v>45610</v>
      </c>
      <c r="VW2" s="14">
        <f>'Coffee and food'!VW20</f>
        <v>45611</v>
      </c>
      <c r="VX2" s="14">
        <f>'Coffee and food'!VX20</f>
        <v>45612</v>
      </c>
      <c r="VY2" s="14">
        <f>'Coffee and food'!VY20</f>
        <v>45613</v>
      </c>
      <c r="VZ2" s="14">
        <f>'Coffee and food'!VZ20</f>
        <v>45614</v>
      </c>
      <c r="WA2" s="14">
        <f>'Coffee and food'!WA20</f>
        <v>45615</v>
      </c>
      <c r="WB2" s="14">
        <f>'Coffee and food'!WB20</f>
        <v>45616</v>
      </c>
      <c r="WC2" s="14">
        <f>'Coffee and food'!WC20</f>
        <v>45617</v>
      </c>
      <c r="WD2" s="14">
        <f>'Coffee and food'!WD20</f>
        <v>45618</v>
      </c>
      <c r="WE2" s="14">
        <f>'Coffee and food'!WE20</f>
        <v>45619</v>
      </c>
      <c r="WF2" s="14">
        <f>'Coffee and food'!WF20</f>
        <v>45620</v>
      </c>
      <c r="WG2" s="14">
        <f>'Coffee and food'!WG20</f>
        <v>45621</v>
      </c>
      <c r="WH2" s="14">
        <f>'Coffee and food'!WH20</f>
        <v>45622</v>
      </c>
      <c r="WI2" s="14">
        <f>'Coffee and food'!WI20</f>
        <v>45623</v>
      </c>
      <c r="WJ2" s="14">
        <f>'Coffee and food'!WJ20</f>
        <v>45624</v>
      </c>
      <c r="WK2" s="14">
        <f>'Coffee and food'!WK20</f>
        <v>45625</v>
      </c>
      <c r="WL2" s="14">
        <f>'Coffee and food'!WL20</f>
        <v>45626</v>
      </c>
      <c r="WM2" s="14">
        <f>'Coffee and food'!WM20</f>
        <v>45627</v>
      </c>
      <c r="WN2" s="14">
        <f>'Coffee and food'!WN20</f>
        <v>45628</v>
      </c>
      <c r="WO2" s="14">
        <f>'Coffee and food'!WO20</f>
        <v>45629</v>
      </c>
      <c r="WP2" s="14">
        <f>'Coffee and food'!WP20</f>
        <v>45630</v>
      </c>
      <c r="WQ2" s="14">
        <f>'Coffee and food'!WQ20</f>
        <v>45631</v>
      </c>
      <c r="WR2" s="14">
        <f>'Coffee and food'!WR20</f>
        <v>45632</v>
      </c>
      <c r="WS2" s="14">
        <f>'Coffee and food'!WS20</f>
        <v>45633</v>
      </c>
      <c r="WT2" s="14">
        <f>'Coffee and food'!WT20</f>
        <v>45634</v>
      </c>
      <c r="WU2" s="14">
        <f>'Coffee and food'!WU20</f>
        <v>45635</v>
      </c>
      <c r="WV2" s="14">
        <f>'Coffee and food'!WV20</f>
        <v>45636</v>
      </c>
      <c r="WW2" s="14">
        <f>'Coffee and food'!WW20</f>
        <v>45637</v>
      </c>
      <c r="WX2" s="14">
        <f>'Coffee and food'!WX20</f>
        <v>45638</v>
      </c>
      <c r="WY2" s="14">
        <f>'Coffee and food'!WY20</f>
        <v>45639</v>
      </c>
      <c r="WZ2" s="14">
        <f>'Coffee and food'!WZ20</f>
        <v>45640</v>
      </c>
      <c r="XA2" s="14">
        <f>'Coffee and food'!XA20</f>
        <v>45641</v>
      </c>
      <c r="XB2" s="14">
        <f>'Coffee and food'!XB20</f>
        <v>45642</v>
      </c>
      <c r="XC2" s="14">
        <f>'Coffee and food'!XC20</f>
        <v>45643</v>
      </c>
      <c r="XD2" s="14">
        <f>'Coffee and food'!XD20</f>
        <v>45644</v>
      </c>
      <c r="XE2" s="14">
        <f>'Coffee and food'!XE20</f>
        <v>45645</v>
      </c>
      <c r="XF2" s="14">
        <f>'Coffee and food'!XF20</f>
        <v>45646</v>
      </c>
      <c r="XG2" s="14">
        <f>'Coffee and food'!XG20</f>
        <v>45647</v>
      </c>
      <c r="XH2" s="14">
        <f>'Coffee and food'!XH20</f>
        <v>45648</v>
      </c>
      <c r="XI2" s="14">
        <f>'Coffee and food'!XI20</f>
        <v>45649</v>
      </c>
      <c r="XJ2" s="14">
        <f>'Coffee and food'!XJ20</f>
        <v>45650</v>
      </c>
      <c r="XK2" s="14">
        <f>'Coffee and food'!XK20</f>
        <v>45651</v>
      </c>
      <c r="XL2" s="14">
        <f>'Coffee and food'!XL20</f>
        <v>45652</v>
      </c>
      <c r="XM2" s="14">
        <f>'Coffee and food'!XM20</f>
        <v>45653</v>
      </c>
      <c r="XN2" s="14">
        <f>'Coffee and food'!XN20</f>
        <v>45654</v>
      </c>
      <c r="XO2" s="14">
        <f>'Coffee and food'!XO20</f>
        <v>45655</v>
      </c>
      <c r="XP2" s="14">
        <f>'Coffee and food'!XP20</f>
        <v>45656</v>
      </c>
      <c r="XQ2" s="14">
        <f>'Coffee and food'!XQ20</f>
        <v>45657</v>
      </c>
    </row>
    <row r="3" spans="1:641" x14ac:dyDescent="0.3">
      <c r="B3" t="s">
        <v>49</v>
      </c>
      <c r="C3" s="4">
        <f>'Coffee and food'!C23</f>
        <v>42.5</v>
      </c>
      <c r="D3" s="4">
        <f>'Coffee and food'!D23</f>
        <v>85</v>
      </c>
      <c r="E3" s="4">
        <f>'Coffee and food'!E23</f>
        <v>127.5</v>
      </c>
      <c r="F3" s="4">
        <f>'Coffee and food'!F23</f>
        <v>127.5</v>
      </c>
      <c r="G3" s="4">
        <f>'Coffee and food'!G23</f>
        <v>127.5</v>
      </c>
      <c r="H3" s="4">
        <f>'Coffee and food'!H23</f>
        <v>119</v>
      </c>
      <c r="I3" s="4">
        <f>'Coffee and food'!I23</f>
        <v>85</v>
      </c>
      <c r="J3" s="4">
        <f>'Coffee and food'!J23</f>
        <v>42.5</v>
      </c>
      <c r="K3" s="4">
        <f>'Coffee and food'!K23</f>
        <v>85</v>
      </c>
      <c r="L3" s="4">
        <f>'Coffee and food'!L23</f>
        <v>127.5</v>
      </c>
      <c r="M3" s="4">
        <f>'Coffee and food'!M23</f>
        <v>127.5</v>
      </c>
      <c r="N3" s="4">
        <f>'Coffee and food'!N23</f>
        <v>127.5</v>
      </c>
      <c r="O3" s="4">
        <f>'Coffee and food'!O23</f>
        <v>119</v>
      </c>
      <c r="P3" s="4">
        <f>'Coffee and food'!P23</f>
        <v>85</v>
      </c>
      <c r="Q3" s="4">
        <f>'Coffee and food'!Q23</f>
        <v>42.5</v>
      </c>
      <c r="R3" s="4">
        <f>'Coffee and food'!R23</f>
        <v>85</v>
      </c>
      <c r="S3" s="4">
        <f>'Coffee and food'!S23</f>
        <v>127.5</v>
      </c>
      <c r="T3" s="4">
        <f>'Coffee and food'!T23</f>
        <v>127.5</v>
      </c>
      <c r="U3" s="4">
        <f>'Coffee and food'!U23</f>
        <v>127.5</v>
      </c>
      <c r="V3" s="4">
        <f>'Coffee and food'!V23</f>
        <v>119</v>
      </c>
      <c r="W3" s="4">
        <f>'Coffee and food'!W23</f>
        <v>85</v>
      </c>
      <c r="X3" s="4">
        <f>'Coffee and food'!X23</f>
        <v>42.5</v>
      </c>
      <c r="Y3" s="4">
        <f>'Coffee and food'!Y23</f>
        <v>85</v>
      </c>
      <c r="Z3" s="4">
        <f>'Coffee and food'!Z23</f>
        <v>127.5</v>
      </c>
      <c r="AA3" s="4">
        <f>'Coffee and food'!AA23</f>
        <v>127.5</v>
      </c>
      <c r="AB3" s="4">
        <f>'Coffee and food'!AB23</f>
        <v>127.5</v>
      </c>
      <c r="AC3" s="4">
        <f>'Coffee and food'!AC23</f>
        <v>119</v>
      </c>
      <c r="AD3" s="4">
        <f>'Coffee and food'!AD23</f>
        <v>85</v>
      </c>
      <c r="AE3" s="4">
        <f>'Coffee and food'!AE23</f>
        <v>42.5</v>
      </c>
      <c r="AF3" s="4">
        <f>'Coffee and food'!AF23</f>
        <v>85</v>
      </c>
      <c r="AG3" s="4">
        <f>'Coffee and food'!AG23</f>
        <v>127.5</v>
      </c>
      <c r="AH3" s="4">
        <f>'Coffee and food'!AH23</f>
        <v>127.5</v>
      </c>
      <c r="AI3" s="4">
        <f>'Coffee and food'!AI23</f>
        <v>127.5</v>
      </c>
      <c r="AJ3" s="4">
        <f>'Coffee and food'!AJ23</f>
        <v>119</v>
      </c>
      <c r="AK3" s="4">
        <f>'Coffee and food'!AK23</f>
        <v>85</v>
      </c>
      <c r="AL3" s="4">
        <f>'Coffee and food'!AL23</f>
        <v>42.5</v>
      </c>
      <c r="AM3" s="4">
        <f>'Coffee and food'!AM23</f>
        <v>85</v>
      </c>
      <c r="AN3" s="4">
        <f>'Coffee and food'!AN23</f>
        <v>127.5</v>
      </c>
      <c r="AO3" s="4">
        <f>'Coffee and food'!AO23</f>
        <v>127.5</v>
      </c>
      <c r="AP3" s="4">
        <f>'Coffee and food'!AP23</f>
        <v>127.5</v>
      </c>
      <c r="AQ3" s="4">
        <f>'Coffee and food'!AQ23</f>
        <v>119</v>
      </c>
      <c r="AR3" s="4">
        <f>'Coffee and food'!AR23</f>
        <v>85</v>
      </c>
      <c r="AS3" s="4">
        <f>'Coffee and food'!AS23</f>
        <v>42.5</v>
      </c>
      <c r="AT3" s="4">
        <f>'Coffee and food'!AT23</f>
        <v>85</v>
      </c>
      <c r="AU3" s="4">
        <f>'Coffee and food'!AU23</f>
        <v>127.5</v>
      </c>
      <c r="AV3" s="4">
        <f>'Coffee and food'!AV23</f>
        <v>127.5</v>
      </c>
      <c r="AW3" s="4">
        <f>'Coffee and food'!AW23</f>
        <v>127.5</v>
      </c>
      <c r="AX3" s="4">
        <f>'Coffee and food'!AX23</f>
        <v>119</v>
      </c>
      <c r="AY3" s="4">
        <f>'Coffee and food'!AY23</f>
        <v>85</v>
      </c>
      <c r="AZ3" s="4">
        <f>'Coffee and food'!AZ23</f>
        <v>42.5</v>
      </c>
      <c r="BA3" s="4">
        <f>'Coffee and food'!BA23</f>
        <v>85</v>
      </c>
      <c r="BB3" s="4">
        <f>'Coffee and food'!BB23</f>
        <v>127.5</v>
      </c>
      <c r="BC3" s="4">
        <f>'Coffee and food'!BC23</f>
        <v>127.5</v>
      </c>
      <c r="BD3" s="4">
        <f>'Coffee and food'!BD23</f>
        <v>127.5</v>
      </c>
      <c r="BE3" s="4">
        <f>'Coffee and food'!BE23</f>
        <v>119</v>
      </c>
      <c r="BF3" s="4">
        <f>'Coffee and food'!BF23</f>
        <v>85</v>
      </c>
      <c r="BG3" s="4">
        <f>'Coffee and food'!BG23</f>
        <v>42.5</v>
      </c>
      <c r="BH3" s="4">
        <f>'Coffee and food'!BH23</f>
        <v>85</v>
      </c>
      <c r="BI3" s="4">
        <f>'Coffee and food'!BI23</f>
        <v>127.5</v>
      </c>
      <c r="BJ3" s="4">
        <f>'Coffee and food'!BJ23</f>
        <v>127.5</v>
      </c>
      <c r="BK3" s="4">
        <f>'Coffee and food'!BK23</f>
        <v>127.5</v>
      </c>
      <c r="BL3" s="4">
        <f>'Coffee and food'!BL23</f>
        <v>119</v>
      </c>
      <c r="BM3" s="4">
        <f>'Coffee and food'!BM23</f>
        <v>85</v>
      </c>
      <c r="BN3" s="4">
        <f>'Coffee and food'!BN23</f>
        <v>42.5</v>
      </c>
      <c r="BO3" s="4">
        <f>'Coffee and food'!BO23</f>
        <v>85</v>
      </c>
      <c r="BP3" s="4">
        <f>'Coffee and food'!BP23</f>
        <v>127.5</v>
      </c>
      <c r="BQ3" s="4">
        <f>'Coffee and food'!BQ23</f>
        <v>127.5</v>
      </c>
      <c r="BR3" s="4">
        <f>'Coffee and food'!BR23</f>
        <v>127.5</v>
      </c>
      <c r="BS3" s="4">
        <f>'Coffee and food'!BS23</f>
        <v>119</v>
      </c>
      <c r="BT3" s="4">
        <f>'Coffee and food'!BT23</f>
        <v>85</v>
      </c>
      <c r="BU3" s="4">
        <f>'Coffee and food'!BU23</f>
        <v>42.5</v>
      </c>
      <c r="BV3" s="4">
        <f>'Coffee and food'!BV23</f>
        <v>85</v>
      </c>
      <c r="BW3" s="4">
        <f>'Coffee and food'!BW23</f>
        <v>127.5</v>
      </c>
      <c r="BX3" s="4">
        <f>'Coffee and food'!BX23</f>
        <v>127.5</v>
      </c>
      <c r="BY3" s="4">
        <f>'Coffee and food'!BY23</f>
        <v>127.5</v>
      </c>
      <c r="BZ3" s="4">
        <f>'Coffee and food'!BZ23</f>
        <v>119</v>
      </c>
      <c r="CA3" s="4">
        <f>'Coffee and food'!CA23</f>
        <v>85</v>
      </c>
      <c r="CB3" s="4">
        <f>'Coffee and food'!CB23</f>
        <v>42.5</v>
      </c>
      <c r="CC3" s="4">
        <f>'Coffee and food'!CC23</f>
        <v>85</v>
      </c>
      <c r="CD3" s="4">
        <f>'Coffee and food'!CD23</f>
        <v>127.5</v>
      </c>
      <c r="CE3" s="4">
        <f>'Coffee and food'!CE23</f>
        <v>127.5</v>
      </c>
      <c r="CF3" s="4">
        <f>'Coffee and food'!CF23</f>
        <v>127.5</v>
      </c>
      <c r="CG3" s="4">
        <f>'Coffee and food'!CG23</f>
        <v>119</v>
      </c>
      <c r="CH3" s="4">
        <f>'Coffee and food'!CH23</f>
        <v>85</v>
      </c>
      <c r="CI3" s="4">
        <f>'Coffee and food'!CI23</f>
        <v>42.5</v>
      </c>
      <c r="CJ3" s="4">
        <f>'Coffee and food'!CJ23</f>
        <v>85</v>
      </c>
      <c r="CK3" s="4">
        <f>'Coffee and food'!CK23</f>
        <v>127.5</v>
      </c>
      <c r="CL3" s="4">
        <f>'Coffee and food'!CL23</f>
        <v>127.5</v>
      </c>
      <c r="CM3" s="4">
        <f>'Coffee and food'!CM23</f>
        <v>127.5</v>
      </c>
      <c r="CN3" s="4">
        <f>'Coffee and food'!CN23</f>
        <v>119</v>
      </c>
      <c r="CO3" s="4">
        <f>'Coffee and food'!CO23</f>
        <v>85</v>
      </c>
      <c r="CP3" s="4">
        <f>'Coffee and food'!CP23</f>
        <v>42.5</v>
      </c>
      <c r="CQ3" s="4">
        <f>'Coffee and food'!CQ23</f>
        <v>85</v>
      </c>
      <c r="CR3" s="4">
        <f>'Coffee and food'!CR23</f>
        <v>127.5</v>
      </c>
      <c r="CS3" s="4">
        <f>'Coffee and food'!CS23</f>
        <v>127.5</v>
      </c>
      <c r="CT3" s="4">
        <f>'Coffee and food'!CT23</f>
        <v>127.5</v>
      </c>
      <c r="CU3" s="4">
        <f>'Coffee and food'!CU23</f>
        <v>119</v>
      </c>
      <c r="CV3" s="4">
        <f>'Coffee and food'!CV23</f>
        <v>85</v>
      </c>
      <c r="CW3" s="4">
        <f>'Coffee and food'!CW23</f>
        <v>42.5</v>
      </c>
      <c r="CX3" s="4">
        <f>'Coffee and food'!CX23</f>
        <v>85</v>
      </c>
      <c r="CY3" s="4">
        <f>'Coffee and food'!CY23</f>
        <v>127.5</v>
      </c>
      <c r="CZ3" s="4">
        <f>'Coffee and food'!CZ23</f>
        <v>127.5</v>
      </c>
      <c r="DA3" s="4">
        <f>'Coffee and food'!DA23</f>
        <v>127.5</v>
      </c>
      <c r="DB3" s="4">
        <f>'Coffee and food'!DB23</f>
        <v>119</v>
      </c>
      <c r="DC3" s="4">
        <f>'Coffee and food'!DC23</f>
        <v>85</v>
      </c>
      <c r="DD3" s="4">
        <f>'Coffee and food'!DD23</f>
        <v>42.5</v>
      </c>
      <c r="DE3" s="4">
        <f>'Coffee and food'!DE23</f>
        <v>85</v>
      </c>
      <c r="DF3" s="4">
        <f>'Coffee and food'!DF23</f>
        <v>127.5</v>
      </c>
      <c r="DG3" s="4">
        <f>'Coffee and food'!DG23</f>
        <v>127.5</v>
      </c>
      <c r="DH3" s="4">
        <f>'Coffee and food'!DH23</f>
        <v>127.5</v>
      </c>
      <c r="DI3" s="4">
        <f>'Coffee and food'!DI23</f>
        <v>119</v>
      </c>
      <c r="DJ3" s="4">
        <f>'Coffee and food'!DJ23</f>
        <v>85</v>
      </c>
      <c r="DK3" s="4">
        <f>'Coffee and food'!DK23</f>
        <v>42.5</v>
      </c>
      <c r="DL3" s="4">
        <f>'Coffee and food'!DL23</f>
        <v>85</v>
      </c>
      <c r="DM3" s="4">
        <f>'Coffee and food'!DM23</f>
        <v>127.5</v>
      </c>
      <c r="DN3" s="4">
        <f>'Coffee and food'!DN23</f>
        <v>127.5</v>
      </c>
      <c r="DO3" s="4">
        <f>'Coffee and food'!DO23</f>
        <v>127.5</v>
      </c>
      <c r="DP3" s="4">
        <f>'Coffee and food'!DP23</f>
        <v>119</v>
      </c>
      <c r="DQ3" s="4">
        <f>'Coffee and food'!DQ23</f>
        <v>85</v>
      </c>
      <c r="DR3" s="4">
        <f>'Coffee and food'!DR23</f>
        <v>42.5</v>
      </c>
      <c r="DS3" s="4">
        <f>'Coffee and food'!DS23</f>
        <v>85</v>
      </c>
      <c r="DT3" s="4">
        <f>'Coffee and food'!DT23</f>
        <v>127.5</v>
      </c>
      <c r="DU3" s="4">
        <f>'Coffee and food'!DU23</f>
        <v>127.5</v>
      </c>
      <c r="DV3" s="4">
        <f>'Coffee and food'!DV23</f>
        <v>127.5</v>
      </c>
      <c r="DW3" s="4">
        <f>'Coffee and food'!DW23</f>
        <v>119</v>
      </c>
      <c r="DX3" s="4">
        <f>'Coffee and food'!DX23</f>
        <v>85</v>
      </c>
      <c r="DY3" s="4">
        <f>'Coffee and food'!DY23</f>
        <v>42.5</v>
      </c>
      <c r="DZ3" s="4">
        <f>'Coffee and food'!DZ23</f>
        <v>85</v>
      </c>
      <c r="EA3" s="4">
        <f>'Coffee and food'!EA23</f>
        <v>127.5</v>
      </c>
      <c r="EB3" s="4">
        <f>'Coffee and food'!EB23</f>
        <v>127.5</v>
      </c>
      <c r="EC3" s="4">
        <f>'Coffee and food'!EC23</f>
        <v>127.5</v>
      </c>
      <c r="ED3" s="4">
        <f>'Coffee and food'!ED23</f>
        <v>119</v>
      </c>
      <c r="EE3" s="4">
        <f>'Coffee and food'!EE23</f>
        <v>85</v>
      </c>
      <c r="EF3" s="4">
        <f>'Coffee and food'!EF23</f>
        <v>42.5</v>
      </c>
      <c r="EG3" s="4">
        <f>'Coffee and food'!EG23</f>
        <v>85</v>
      </c>
      <c r="EH3" s="4">
        <f>'Coffee and food'!EH23</f>
        <v>127.5</v>
      </c>
      <c r="EI3" s="4">
        <f>'Coffee and food'!EI23</f>
        <v>127.5</v>
      </c>
      <c r="EJ3" s="4">
        <f>'Coffee and food'!EJ23</f>
        <v>127.5</v>
      </c>
      <c r="EK3" s="4">
        <f>'Coffee and food'!EK23</f>
        <v>119</v>
      </c>
      <c r="EL3" s="4">
        <f>'Coffee and food'!EL23</f>
        <v>85</v>
      </c>
      <c r="EM3" s="4">
        <f>'Coffee and food'!EM23</f>
        <v>42.5</v>
      </c>
      <c r="EN3" s="4">
        <f>'Coffee and food'!EN23</f>
        <v>85</v>
      </c>
      <c r="EO3" s="4">
        <f>'Coffee and food'!EO23</f>
        <v>127.5</v>
      </c>
      <c r="EP3" s="4">
        <f>'Coffee and food'!EP23</f>
        <v>127.5</v>
      </c>
      <c r="EQ3" s="4">
        <f>'Coffee and food'!EQ23</f>
        <v>127.5</v>
      </c>
      <c r="ER3" s="4">
        <f>'Coffee and food'!ER23</f>
        <v>119</v>
      </c>
      <c r="ES3" s="4">
        <f>'Coffee and food'!ES23</f>
        <v>85</v>
      </c>
      <c r="ET3" s="4">
        <f>'Coffee and food'!ET23</f>
        <v>42.5</v>
      </c>
      <c r="EU3" s="4">
        <f>'Coffee and food'!EU23</f>
        <v>85</v>
      </c>
      <c r="EV3" s="4">
        <f>'Coffee and food'!EV23</f>
        <v>127.5</v>
      </c>
      <c r="EW3" s="4">
        <f>'Coffee and food'!EW23</f>
        <v>127.5</v>
      </c>
      <c r="EX3" s="4">
        <f>'Coffee and food'!EX23</f>
        <v>127.5</v>
      </c>
      <c r="EY3" s="4">
        <f>'Coffee and food'!EY23</f>
        <v>119</v>
      </c>
      <c r="EZ3" s="4">
        <f>'Coffee and food'!EZ23</f>
        <v>85</v>
      </c>
      <c r="FA3" s="4">
        <f>'Coffee and food'!FA23</f>
        <v>42.5</v>
      </c>
      <c r="FB3" s="4">
        <f>'Coffee and food'!FB23</f>
        <v>85</v>
      </c>
      <c r="FC3" s="4">
        <f>'Coffee and food'!FC23</f>
        <v>127.5</v>
      </c>
      <c r="FD3" s="4">
        <f>'Coffee and food'!FD23</f>
        <v>127.5</v>
      </c>
      <c r="FE3" s="4">
        <f>'Coffee and food'!FE23</f>
        <v>127.5</v>
      </c>
      <c r="FF3" s="4">
        <f>'Coffee and food'!FF23</f>
        <v>119</v>
      </c>
      <c r="FG3" s="4">
        <f>'Coffee and food'!FG23</f>
        <v>85</v>
      </c>
      <c r="FH3" s="4">
        <f>'Coffee and food'!FH23</f>
        <v>42.5</v>
      </c>
      <c r="FI3" s="4">
        <f>'Coffee and food'!FI23</f>
        <v>85</v>
      </c>
      <c r="FJ3" s="4">
        <f>'Coffee and food'!FJ23</f>
        <v>127.5</v>
      </c>
      <c r="FK3" s="4">
        <f>'Coffee and food'!FK23</f>
        <v>127.5</v>
      </c>
      <c r="FL3" s="4">
        <f>'Coffee and food'!FL23</f>
        <v>127.5</v>
      </c>
      <c r="FM3" s="4">
        <f>'Coffee and food'!FM23</f>
        <v>119</v>
      </c>
      <c r="FN3" s="4">
        <f>'Coffee and food'!FN23</f>
        <v>85</v>
      </c>
      <c r="FO3" s="4">
        <f>'Coffee and food'!FO23</f>
        <v>42.5</v>
      </c>
      <c r="FP3" s="4">
        <f>'Coffee and food'!FP23</f>
        <v>85</v>
      </c>
      <c r="FQ3" s="4">
        <f>'Coffee and food'!FQ23</f>
        <v>127.5</v>
      </c>
      <c r="FR3" s="4">
        <f>'Coffee and food'!FR23</f>
        <v>127.5</v>
      </c>
      <c r="FS3" s="4">
        <f>'Coffee and food'!FS23</f>
        <v>127.5</v>
      </c>
      <c r="FT3" s="4">
        <f>'Coffee and food'!FT23</f>
        <v>119</v>
      </c>
      <c r="FU3" s="4">
        <f>'Coffee and food'!FU23</f>
        <v>85</v>
      </c>
      <c r="FV3" s="4">
        <f>'Coffee and food'!FV23</f>
        <v>42.5</v>
      </c>
      <c r="FW3" s="4">
        <f>'Coffee and food'!FW23</f>
        <v>85</v>
      </c>
      <c r="FX3" s="4">
        <f>'Coffee and food'!FX23</f>
        <v>127.5</v>
      </c>
      <c r="FY3" s="4">
        <f>'Coffee and food'!FY23</f>
        <v>127.5</v>
      </c>
      <c r="FZ3" s="4">
        <f>'Coffee and food'!FZ23</f>
        <v>127.5</v>
      </c>
      <c r="GA3" s="4">
        <f>'Coffee and food'!GA23</f>
        <v>119</v>
      </c>
      <c r="GB3" s="4">
        <f>'Coffee and food'!GB23</f>
        <v>85</v>
      </c>
      <c r="GC3" s="4">
        <f>'Coffee and food'!GC23</f>
        <v>42.5</v>
      </c>
      <c r="GD3" s="4">
        <f>'Coffee and food'!GD23</f>
        <v>85</v>
      </c>
      <c r="GE3" s="4">
        <f>'Coffee and food'!GE23</f>
        <v>127.5</v>
      </c>
      <c r="GF3" s="4">
        <f>'Coffee and food'!GF23</f>
        <v>127.5</v>
      </c>
      <c r="GG3" s="4">
        <f>'Coffee and food'!GG23</f>
        <v>127.5</v>
      </c>
      <c r="GH3" s="4">
        <f>'Coffee and food'!GH23</f>
        <v>119</v>
      </c>
      <c r="GI3" s="4">
        <f>'Coffee and food'!GI23</f>
        <v>85</v>
      </c>
      <c r="GJ3" s="4">
        <f>'Coffee and food'!GJ23</f>
        <v>42.5</v>
      </c>
      <c r="GK3" s="4">
        <f>'Coffee and food'!GK23</f>
        <v>85</v>
      </c>
      <c r="GL3" s="4">
        <f>'Coffee and food'!GL23</f>
        <v>127.5</v>
      </c>
      <c r="GM3" s="4">
        <f>'Coffee and food'!GM23</f>
        <v>127.5</v>
      </c>
      <c r="GN3" s="4">
        <f>'Coffee and food'!GN23</f>
        <v>127.5</v>
      </c>
      <c r="GO3" s="4">
        <f>'Coffee and food'!GO23</f>
        <v>119</v>
      </c>
      <c r="GP3" s="4">
        <f>'Coffee and food'!GP23</f>
        <v>85</v>
      </c>
      <c r="GQ3" s="4">
        <f>'Coffee and food'!GQ23</f>
        <v>42.5</v>
      </c>
      <c r="GR3" s="4">
        <f>'Coffee and food'!GR23</f>
        <v>85</v>
      </c>
      <c r="GS3" s="4">
        <f>'Coffee and food'!GS23</f>
        <v>127.5</v>
      </c>
      <c r="GT3" s="4">
        <f>'Coffee and food'!GT23</f>
        <v>127.5</v>
      </c>
      <c r="GU3" s="4">
        <f>'Coffee and food'!GU23</f>
        <v>127.5</v>
      </c>
      <c r="GV3" s="4">
        <f>'Coffee and food'!GV23</f>
        <v>119</v>
      </c>
      <c r="GW3" s="4">
        <f>'Coffee and food'!GW23</f>
        <v>85</v>
      </c>
      <c r="GX3" s="4">
        <f>'Coffee and food'!GX23</f>
        <v>42.5</v>
      </c>
      <c r="GY3" s="4">
        <f>'Coffee and food'!GY23</f>
        <v>85</v>
      </c>
      <c r="GZ3" s="4">
        <f>'Coffee and food'!GZ23</f>
        <v>127.5</v>
      </c>
      <c r="HA3" s="4">
        <f>'Coffee and food'!HA23</f>
        <v>127.5</v>
      </c>
      <c r="HB3" s="4">
        <f>'Coffee and food'!HB23</f>
        <v>127.5</v>
      </c>
      <c r="HC3" s="4">
        <f>'Coffee and food'!HC23</f>
        <v>119</v>
      </c>
      <c r="HD3" s="4">
        <f>'Coffee and food'!HD23</f>
        <v>85</v>
      </c>
      <c r="HE3" s="4">
        <f>'Coffee and food'!HE23</f>
        <v>42.5</v>
      </c>
      <c r="HF3" s="4">
        <f>'Coffee and food'!HF23</f>
        <v>85</v>
      </c>
      <c r="HG3" s="4">
        <f>'Coffee and food'!HG23</f>
        <v>127.5</v>
      </c>
      <c r="HH3" s="4">
        <f>'Coffee and food'!HH23</f>
        <v>127.5</v>
      </c>
      <c r="HI3" s="4">
        <f>'Coffee and food'!HI23</f>
        <v>127.5</v>
      </c>
      <c r="HJ3" s="4">
        <f>'Coffee and food'!HJ23</f>
        <v>119</v>
      </c>
      <c r="HK3" s="4">
        <f>'Coffee and food'!HK23</f>
        <v>85</v>
      </c>
      <c r="HL3" s="4">
        <f>'Coffee and food'!HL23</f>
        <v>42.5</v>
      </c>
      <c r="HM3" s="4">
        <f>'Coffee and food'!HM23</f>
        <v>85</v>
      </c>
      <c r="HN3" s="4">
        <f>'Coffee and food'!HN23</f>
        <v>127.5</v>
      </c>
      <c r="HO3" s="4">
        <f>'Coffee and food'!HO23</f>
        <v>127.5</v>
      </c>
      <c r="HP3" s="4">
        <f>'Coffee and food'!HP23</f>
        <v>127.5</v>
      </c>
      <c r="HQ3" s="4">
        <f>'Coffee and food'!HQ23</f>
        <v>119</v>
      </c>
      <c r="HR3" s="4">
        <f>'Coffee and food'!HR23</f>
        <v>85</v>
      </c>
      <c r="HS3" s="4">
        <f>'Coffee and food'!HS23</f>
        <v>42.5</v>
      </c>
      <c r="HT3" s="4">
        <f>'Coffee and food'!HT23</f>
        <v>85</v>
      </c>
      <c r="HU3" s="4">
        <f>'Coffee and food'!HU23</f>
        <v>127.5</v>
      </c>
      <c r="HV3" s="4">
        <f>'Coffee and food'!HV23</f>
        <v>127.5</v>
      </c>
      <c r="HW3" s="4">
        <f>'Coffee and food'!HW23</f>
        <v>127.5</v>
      </c>
      <c r="HX3" s="4">
        <f>'Coffee and food'!HX23</f>
        <v>119</v>
      </c>
      <c r="HY3" s="4">
        <f>'Coffee and food'!HY23</f>
        <v>85</v>
      </c>
      <c r="HZ3" s="4">
        <f>'Coffee and food'!HZ23</f>
        <v>42.5</v>
      </c>
      <c r="IA3" s="4">
        <f>'Coffee and food'!IA23</f>
        <v>85</v>
      </c>
      <c r="IB3" s="4">
        <f>'Coffee and food'!IB23</f>
        <v>127.5</v>
      </c>
      <c r="IC3" s="4">
        <f>'Coffee and food'!IC23</f>
        <v>127.5</v>
      </c>
      <c r="ID3" s="4">
        <f>'Coffee and food'!ID23</f>
        <v>127.5</v>
      </c>
      <c r="IE3" s="4">
        <f>'Coffee and food'!IE23</f>
        <v>119</v>
      </c>
      <c r="IF3" s="4">
        <f>'Coffee and food'!IF23</f>
        <v>85</v>
      </c>
      <c r="IG3" s="4">
        <f>'Coffee and food'!IG23</f>
        <v>42.5</v>
      </c>
      <c r="IH3" s="4">
        <f>'Coffee and food'!IH23</f>
        <v>85</v>
      </c>
      <c r="II3" s="4">
        <f>'Coffee and food'!II23</f>
        <v>127.5</v>
      </c>
      <c r="IJ3" s="4">
        <f>'Coffee and food'!IJ23</f>
        <v>127.5</v>
      </c>
      <c r="IK3" s="4">
        <f>'Coffee and food'!IK23</f>
        <v>127.5</v>
      </c>
      <c r="IL3" s="4">
        <f>'Coffee and food'!IL23</f>
        <v>119</v>
      </c>
      <c r="IM3" s="4">
        <f>'Coffee and food'!IM23</f>
        <v>85</v>
      </c>
      <c r="IN3" s="4">
        <f>'Coffee and food'!IN23</f>
        <v>42.5</v>
      </c>
      <c r="IO3" s="4">
        <f>'Coffee and food'!IO23</f>
        <v>85</v>
      </c>
      <c r="IP3" s="4">
        <f>'Coffee and food'!IP23</f>
        <v>127.5</v>
      </c>
      <c r="IQ3" s="4">
        <f>'Coffee and food'!IQ23</f>
        <v>127.5</v>
      </c>
      <c r="IR3" s="4">
        <f>'Coffee and food'!IR23</f>
        <v>127.5</v>
      </c>
      <c r="IS3" s="4">
        <f>'Coffee and food'!IS23</f>
        <v>119</v>
      </c>
      <c r="IT3" s="4">
        <f>'Coffee and food'!IT23</f>
        <v>85</v>
      </c>
      <c r="IU3" s="4">
        <f>'Coffee and food'!IU23</f>
        <v>42.5</v>
      </c>
      <c r="IV3" s="4">
        <f>'Coffee and food'!IV23</f>
        <v>85</v>
      </c>
      <c r="IW3" s="4">
        <f>'Coffee and food'!IW23</f>
        <v>127.5</v>
      </c>
      <c r="IX3" s="4">
        <f>'Coffee and food'!IX23</f>
        <v>127.5</v>
      </c>
      <c r="IY3" s="4">
        <f>'Coffee and food'!IY23</f>
        <v>127.5</v>
      </c>
      <c r="IZ3" s="4">
        <f>'Coffee and food'!IZ23</f>
        <v>119</v>
      </c>
      <c r="JA3" s="4">
        <f>'Coffee and food'!JA23</f>
        <v>85</v>
      </c>
      <c r="JB3" s="4">
        <f>'Coffee and food'!JB23</f>
        <v>42.5</v>
      </c>
      <c r="JC3" s="4">
        <f>'Coffee and food'!JC23</f>
        <v>85</v>
      </c>
      <c r="JD3" s="4">
        <f>'Coffee and food'!JD23</f>
        <v>127.5</v>
      </c>
      <c r="JE3" s="4">
        <f>'Coffee and food'!JE23</f>
        <v>127.5</v>
      </c>
      <c r="JF3" s="4">
        <f>'Coffee and food'!JF23</f>
        <v>127.5</v>
      </c>
      <c r="JG3" s="4">
        <f>'Coffee and food'!JG23</f>
        <v>119</v>
      </c>
      <c r="JH3" s="4">
        <f>'Coffee and food'!JH23</f>
        <v>85</v>
      </c>
      <c r="JI3" s="4">
        <f>'Coffee and food'!JI23</f>
        <v>42.5</v>
      </c>
      <c r="JJ3" s="4">
        <f>'Coffee and food'!JJ23</f>
        <v>85</v>
      </c>
      <c r="JK3" s="4">
        <f>'Coffee and food'!JK23</f>
        <v>127.5</v>
      </c>
      <c r="JL3" s="4">
        <f>'Coffee and food'!JL23</f>
        <v>127.5</v>
      </c>
      <c r="JM3" s="4">
        <f>'Coffee and food'!JM23</f>
        <v>127.5</v>
      </c>
      <c r="JN3" s="4">
        <f>'Coffee and food'!JN23</f>
        <v>119</v>
      </c>
      <c r="JO3" s="4">
        <f>'Coffee and food'!JO23</f>
        <v>85</v>
      </c>
      <c r="JP3" s="4">
        <f>'Coffee and food'!JP23</f>
        <v>42.5</v>
      </c>
      <c r="JQ3" s="4">
        <f>'Coffee and food'!JQ23</f>
        <v>85</v>
      </c>
      <c r="JR3" s="4">
        <f>'Coffee and food'!JR23</f>
        <v>127.5</v>
      </c>
      <c r="JS3" s="4">
        <f>'Coffee and food'!JS23</f>
        <v>127.5</v>
      </c>
      <c r="JT3" s="4">
        <f>'Coffee and food'!JT23</f>
        <v>127.5</v>
      </c>
      <c r="JU3" s="4">
        <f>'Coffee and food'!JU23</f>
        <v>119</v>
      </c>
      <c r="JV3" s="4">
        <f>'Coffee and food'!JV23</f>
        <v>85</v>
      </c>
      <c r="JW3" s="4">
        <f>'Coffee and food'!JW23</f>
        <v>42.5</v>
      </c>
      <c r="JX3" s="4">
        <f>'Coffee and food'!JX23</f>
        <v>85</v>
      </c>
      <c r="JY3" s="4">
        <f>'Coffee and food'!JY23</f>
        <v>127.5</v>
      </c>
      <c r="JZ3" s="4">
        <f>'Coffee and food'!JZ23</f>
        <v>127.5</v>
      </c>
      <c r="KA3" s="4">
        <f>'Coffee and food'!KA23</f>
        <v>127.5</v>
      </c>
      <c r="KB3" s="4">
        <f>'Coffee and food'!KB23</f>
        <v>119</v>
      </c>
      <c r="KC3" s="4">
        <f>'Coffee and food'!KC23</f>
        <v>85</v>
      </c>
      <c r="KD3" s="4">
        <f>'Coffee and food'!KD23</f>
        <v>42.5</v>
      </c>
      <c r="KE3" s="4">
        <f>'Coffee and food'!KE23</f>
        <v>85</v>
      </c>
      <c r="KF3" s="4">
        <f>'Coffee and food'!KF23</f>
        <v>127.5</v>
      </c>
      <c r="KG3" s="4">
        <f>'Coffee and food'!KG23</f>
        <v>127.5</v>
      </c>
      <c r="KH3" s="4">
        <f>'Coffee and food'!KH23</f>
        <v>127.5</v>
      </c>
      <c r="KI3" s="4">
        <f>'Coffee and food'!KI23</f>
        <v>119</v>
      </c>
      <c r="KJ3" s="4">
        <f>'Coffee and food'!KJ23</f>
        <v>85</v>
      </c>
      <c r="KK3" s="4">
        <f>'Coffee and food'!KK23</f>
        <v>42.5</v>
      </c>
      <c r="KL3" s="4">
        <f>'Coffee and food'!KL23</f>
        <v>85</v>
      </c>
      <c r="KM3" s="4">
        <f>'Coffee and food'!KM23</f>
        <v>127.5</v>
      </c>
      <c r="KN3" s="4">
        <f>'Coffee and food'!KN23</f>
        <v>127.5</v>
      </c>
      <c r="KO3" s="4">
        <f>'Coffee and food'!KO23</f>
        <v>127.5</v>
      </c>
      <c r="KP3" s="4">
        <f>'Coffee and food'!KP23</f>
        <v>119</v>
      </c>
      <c r="KQ3" s="4">
        <f>'Coffee and food'!KQ23</f>
        <v>85</v>
      </c>
      <c r="KR3" s="4">
        <f>'Coffee and food'!KR23</f>
        <v>42.5</v>
      </c>
      <c r="KS3" s="4">
        <f>'Coffee and food'!KS23</f>
        <v>85</v>
      </c>
      <c r="KT3" s="4">
        <f>'Coffee and food'!KT23</f>
        <v>127.5</v>
      </c>
      <c r="KU3" s="4">
        <f>'Coffee and food'!KU23</f>
        <v>127.5</v>
      </c>
      <c r="KV3" s="4">
        <f>'Coffee and food'!KV23</f>
        <v>127.5</v>
      </c>
      <c r="KW3" s="4">
        <f>'Coffee and food'!KW23</f>
        <v>119</v>
      </c>
      <c r="KX3" s="4">
        <f>'Coffee and food'!KX23</f>
        <v>85</v>
      </c>
      <c r="KY3" s="4">
        <f>'Coffee and food'!KY23</f>
        <v>42.5</v>
      </c>
      <c r="KZ3" s="4">
        <f>'Coffee and food'!KZ23</f>
        <v>85</v>
      </c>
      <c r="LA3" s="4">
        <f>'Coffee and food'!LA23</f>
        <v>127.5</v>
      </c>
      <c r="LB3" s="4">
        <f>'Coffee and food'!LB23</f>
        <v>127.5</v>
      </c>
      <c r="LC3" s="4">
        <f>'Coffee and food'!LC23</f>
        <v>127.5</v>
      </c>
      <c r="LD3" s="4">
        <f>'Coffee and food'!LD23</f>
        <v>119</v>
      </c>
      <c r="LE3" s="4">
        <f>'Coffee and food'!LE23</f>
        <v>85</v>
      </c>
      <c r="LF3" s="4">
        <f>'Coffee and food'!LF23</f>
        <v>42.5</v>
      </c>
      <c r="LG3" s="4">
        <f>'Coffee and food'!LG23</f>
        <v>85</v>
      </c>
      <c r="LH3" s="4">
        <f>'Coffee and food'!LH23</f>
        <v>127.5</v>
      </c>
      <c r="LI3" s="4">
        <f>'Coffee and food'!LI23</f>
        <v>127.5</v>
      </c>
      <c r="LJ3" s="4">
        <f>'Coffee and food'!LJ23</f>
        <v>127.5</v>
      </c>
      <c r="LK3" s="4">
        <f>'Coffee and food'!LK23</f>
        <v>119</v>
      </c>
      <c r="LL3" s="4">
        <f>'Coffee and food'!LL23</f>
        <v>85</v>
      </c>
      <c r="LM3" s="4">
        <f>'Coffee and food'!LM23</f>
        <v>42.5</v>
      </c>
      <c r="LN3" s="4">
        <f>'Coffee and food'!LN23</f>
        <v>85</v>
      </c>
      <c r="LO3" s="4">
        <f>'Coffee and food'!LO23</f>
        <v>127.5</v>
      </c>
      <c r="LP3" s="4">
        <f>'Coffee and food'!LP23</f>
        <v>127.5</v>
      </c>
      <c r="LQ3" s="4">
        <f>'Coffee and food'!LQ23</f>
        <v>127.5</v>
      </c>
      <c r="LR3" s="4">
        <f>'Coffee and food'!LR23</f>
        <v>119</v>
      </c>
      <c r="LS3" s="4">
        <f>'Coffee and food'!LS23</f>
        <v>85</v>
      </c>
      <c r="LT3" s="4">
        <f>'Coffee and food'!LT23</f>
        <v>42.5</v>
      </c>
      <c r="LU3" s="4">
        <f>'Coffee and food'!LU23</f>
        <v>85</v>
      </c>
      <c r="LV3" s="4">
        <f>'Coffee and food'!LV23</f>
        <v>127.5</v>
      </c>
      <c r="LW3" s="4">
        <f>'Coffee and food'!LW23</f>
        <v>127.5</v>
      </c>
      <c r="LX3" s="4">
        <f>'Coffee and food'!LX23</f>
        <v>127.5</v>
      </c>
      <c r="LY3" s="4">
        <f>'Coffee and food'!LY23</f>
        <v>119</v>
      </c>
      <c r="LZ3" s="4">
        <f>'Coffee and food'!LZ23</f>
        <v>85</v>
      </c>
      <c r="MA3" s="4">
        <f>'Coffee and food'!MA23</f>
        <v>42.5</v>
      </c>
      <c r="MB3" s="4">
        <f>'Coffee and food'!MB23</f>
        <v>85</v>
      </c>
      <c r="MC3" s="4">
        <f>'Coffee and food'!MC23</f>
        <v>127.5</v>
      </c>
      <c r="MD3" s="4">
        <f>'Coffee and food'!MD23</f>
        <v>127.5</v>
      </c>
      <c r="ME3" s="4">
        <f>'Coffee and food'!ME23</f>
        <v>127.5</v>
      </c>
      <c r="MF3" s="4">
        <f>'Coffee and food'!MF23</f>
        <v>119</v>
      </c>
      <c r="MG3" s="4">
        <f>'Coffee and food'!MG23</f>
        <v>85</v>
      </c>
      <c r="MH3" s="4">
        <f>'Coffee and food'!MH23</f>
        <v>42.5</v>
      </c>
      <c r="MI3" s="4">
        <f>'Coffee and food'!MI23</f>
        <v>85</v>
      </c>
      <c r="MJ3" s="4">
        <f>'Coffee and food'!MJ23</f>
        <v>127.5</v>
      </c>
      <c r="MK3" s="4">
        <f>'Coffee and food'!MK23</f>
        <v>127.5</v>
      </c>
      <c r="ML3" s="4">
        <f>'Coffee and food'!ML23</f>
        <v>127.5</v>
      </c>
      <c r="MM3" s="4">
        <f>'Coffee and food'!MM23</f>
        <v>119</v>
      </c>
      <c r="MN3" s="4">
        <f>'Coffee and food'!MN23</f>
        <v>85</v>
      </c>
      <c r="MO3" s="4">
        <f>'Coffee and food'!MO23</f>
        <v>42.5</v>
      </c>
      <c r="MP3" s="4">
        <f>'Coffee and food'!MP23</f>
        <v>85</v>
      </c>
      <c r="MQ3" s="4">
        <f>'Coffee and food'!MQ23</f>
        <v>127.5</v>
      </c>
      <c r="MR3" s="4">
        <f>'Coffee and food'!MR23</f>
        <v>127.5</v>
      </c>
      <c r="MS3" s="4">
        <f>'Coffee and food'!MS23</f>
        <v>127.5</v>
      </c>
      <c r="MT3" s="4">
        <f>'Coffee and food'!MT23</f>
        <v>119</v>
      </c>
      <c r="MU3" s="4">
        <f>'Coffee and food'!MU23</f>
        <v>85</v>
      </c>
      <c r="MV3" s="4">
        <f>'Coffee and food'!MV23</f>
        <v>42.5</v>
      </c>
      <c r="MW3" s="4">
        <f>'Coffee and food'!MW23</f>
        <v>85</v>
      </c>
      <c r="MX3" s="4">
        <f>'Coffee and food'!MX23</f>
        <v>127.5</v>
      </c>
      <c r="MY3" s="4">
        <f>'Coffee and food'!MY23</f>
        <v>127.5</v>
      </c>
      <c r="MZ3" s="4">
        <f>'Coffee and food'!MZ23</f>
        <v>127.5</v>
      </c>
      <c r="NA3" s="4">
        <f>'Coffee and food'!NA23</f>
        <v>119</v>
      </c>
      <c r="NB3" s="4">
        <f>'Coffee and food'!NB23</f>
        <v>85</v>
      </c>
      <c r="NC3" s="4">
        <f>'Coffee and food'!NC23</f>
        <v>42.5</v>
      </c>
      <c r="ND3" s="4">
        <f>'Coffee and food'!ND23</f>
        <v>85</v>
      </c>
      <c r="NE3" s="4">
        <f>'Coffee and food'!NE23</f>
        <v>127.5</v>
      </c>
      <c r="NF3" s="4">
        <f>'Coffee and food'!NF23</f>
        <v>127.5</v>
      </c>
      <c r="NG3" s="4">
        <f>'Coffee and food'!NG23</f>
        <v>127.5</v>
      </c>
      <c r="NH3" s="4">
        <f>'Coffee and food'!NH23</f>
        <v>119</v>
      </c>
      <c r="NI3" s="4">
        <f>'Coffee and food'!NI23</f>
        <v>85</v>
      </c>
      <c r="NJ3" s="4">
        <f>'Coffee and food'!NJ23</f>
        <v>42.5</v>
      </c>
      <c r="NK3" s="4">
        <f>'Coffee and food'!NK23</f>
        <v>85</v>
      </c>
      <c r="NL3" s="4">
        <f>'Coffee and food'!NL23</f>
        <v>127.5</v>
      </c>
      <c r="NM3" s="4">
        <f>'Coffee and food'!NM23</f>
        <v>127.5</v>
      </c>
      <c r="NN3" s="4">
        <f>'Coffee and food'!NN23</f>
        <v>127.5</v>
      </c>
      <c r="NO3" s="4">
        <f>'Coffee and food'!NO23</f>
        <v>119</v>
      </c>
      <c r="NP3" s="4">
        <f>'Coffee and food'!NP23</f>
        <v>85</v>
      </c>
      <c r="NQ3" s="4">
        <f>'Coffee and food'!NQ23</f>
        <v>42.5</v>
      </c>
      <c r="NR3" s="4">
        <f>'Coffee and food'!NR23</f>
        <v>85</v>
      </c>
      <c r="NS3" s="4">
        <f>'Coffee and food'!NS23</f>
        <v>127.5</v>
      </c>
      <c r="NT3" s="4">
        <f>'Coffee and food'!NT23</f>
        <v>127.5</v>
      </c>
      <c r="NU3" s="4">
        <f>'Coffee and food'!NU23</f>
        <v>127.5</v>
      </c>
      <c r="NV3" s="4">
        <f>'Coffee and food'!NV23</f>
        <v>119</v>
      </c>
      <c r="NW3" s="4">
        <f>'Coffee and food'!NW23</f>
        <v>85</v>
      </c>
      <c r="NX3" s="4">
        <f>'Coffee and food'!NX23</f>
        <v>42.5</v>
      </c>
      <c r="NY3" s="4">
        <f>'Coffee and food'!NY23</f>
        <v>85</v>
      </c>
      <c r="NZ3" s="4">
        <f>'Coffee and food'!NZ23</f>
        <v>127.5</v>
      </c>
      <c r="OA3" s="4">
        <f>'Coffee and food'!OA23</f>
        <v>127.5</v>
      </c>
      <c r="OB3" s="4">
        <f>'Coffee and food'!OB23</f>
        <v>127.5</v>
      </c>
      <c r="OC3" s="4">
        <f>'Coffee and food'!OC23</f>
        <v>119</v>
      </c>
      <c r="OD3" s="4">
        <f>'Coffee and food'!OD23</f>
        <v>85</v>
      </c>
      <c r="OE3" s="4">
        <f>'Coffee and food'!OE23</f>
        <v>42.5</v>
      </c>
      <c r="OF3" s="4">
        <f>'Coffee and food'!OF23</f>
        <v>85</v>
      </c>
      <c r="OG3" s="4">
        <f>'Coffee and food'!OG23</f>
        <v>127.5</v>
      </c>
      <c r="OH3" s="4">
        <f>'Coffee and food'!OH23</f>
        <v>127.5</v>
      </c>
      <c r="OI3" s="4">
        <f>'Coffee and food'!OI23</f>
        <v>127.5</v>
      </c>
      <c r="OJ3" s="4">
        <f>'Coffee and food'!OJ23</f>
        <v>119</v>
      </c>
      <c r="OK3" s="4">
        <f>'Coffee and food'!OK23</f>
        <v>85</v>
      </c>
      <c r="OL3" s="4">
        <f>'Coffee and food'!OL23</f>
        <v>42.5</v>
      </c>
      <c r="OM3" s="4">
        <f>'Coffee and food'!OM23</f>
        <v>85</v>
      </c>
      <c r="ON3" s="4">
        <f>'Coffee and food'!ON23</f>
        <v>127.5</v>
      </c>
      <c r="OO3" s="4">
        <f>'Coffee and food'!OO23</f>
        <v>127.5</v>
      </c>
      <c r="OP3" s="4">
        <f>'Coffee and food'!OP23</f>
        <v>127.5</v>
      </c>
      <c r="OQ3" s="4">
        <f>'Coffee and food'!OQ23</f>
        <v>119</v>
      </c>
      <c r="OR3" s="4">
        <f>'Coffee and food'!OR23</f>
        <v>85</v>
      </c>
      <c r="OS3" s="4">
        <f>'Coffee and food'!OS23</f>
        <v>42.5</v>
      </c>
      <c r="OT3" s="4">
        <f>'Coffee and food'!OT23</f>
        <v>85</v>
      </c>
      <c r="OU3" s="4">
        <f>'Coffee and food'!OU23</f>
        <v>127.5</v>
      </c>
      <c r="OV3" s="4">
        <f>'Coffee and food'!OV23</f>
        <v>127.5</v>
      </c>
      <c r="OW3" s="4">
        <f>'Coffee and food'!OW23</f>
        <v>127.5</v>
      </c>
      <c r="OX3" s="4">
        <f>'Coffee and food'!OX23</f>
        <v>119</v>
      </c>
      <c r="OY3" s="4">
        <f>'Coffee and food'!OY23</f>
        <v>85</v>
      </c>
      <c r="OZ3" s="4">
        <f>'Coffee and food'!OZ23</f>
        <v>42.5</v>
      </c>
      <c r="PA3" s="4">
        <f>'Coffee and food'!PA23</f>
        <v>85</v>
      </c>
      <c r="PB3" s="4">
        <f>'Coffee and food'!PB23</f>
        <v>127.5</v>
      </c>
      <c r="PC3" s="4">
        <f>'Coffee and food'!PC23</f>
        <v>127.5</v>
      </c>
      <c r="PD3" s="4">
        <f>'Coffee and food'!PD23</f>
        <v>127.5</v>
      </c>
      <c r="PE3" s="4">
        <f>'Coffee and food'!PE23</f>
        <v>119</v>
      </c>
      <c r="PF3" s="4">
        <f>'Coffee and food'!PF23</f>
        <v>85</v>
      </c>
      <c r="PG3" s="4">
        <f>'Coffee and food'!PG23</f>
        <v>42.5</v>
      </c>
      <c r="PH3" s="4">
        <f>'Coffee and food'!PH23</f>
        <v>85</v>
      </c>
      <c r="PI3" s="4">
        <f>'Coffee and food'!PI23</f>
        <v>127.5</v>
      </c>
      <c r="PJ3" s="4">
        <f>'Coffee and food'!PJ23</f>
        <v>127.5</v>
      </c>
      <c r="PK3" s="4">
        <f>'Coffee and food'!PK23</f>
        <v>127.5</v>
      </c>
      <c r="PL3" s="4">
        <f>'Coffee and food'!PL23</f>
        <v>119</v>
      </c>
      <c r="PM3" s="4">
        <f>'Coffee and food'!PM23</f>
        <v>85</v>
      </c>
      <c r="PN3" s="4">
        <f>'Coffee and food'!PN23</f>
        <v>42.5</v>
      </c>
      <c r="PO3" s="4">
        <f>'Coffee and food'!PO23</f>
        <v>85</v>
      </c>
      <c r="PP3" s="4">
        <f>'Coffee and food'!PP23</f>
        <v>127.5</v>
      </c>
      <c r="PQ3" s="4">
        <f>'Coffee and food'!PQ23</f>
        <v>127.5</v>
      </c>
      <c r="PR3" s="4">
        <f>'Coffee and food'!PR23</f>
        <v>127.5</v>
      </c>
      <c r="PS3" s="4">
        <f>'Coffee and food'!PS23</f>
        <v>119</v>
      </c>
      <c r="PT3" s="4">
        <f>'Coffee and food'!PT23</f>
        <v>85</v>
      </c>
      <c r="PU3" s="4">
        <f>'Coffee and food'!PU23</f>
        <v>42.5</v>
      </c>
      <c r="PV3" s="4">
        <f>'Coffee and food'!PV23</f>
        <v>85</v>
      </c>
      <c r="PW3" s="4">
        <f>'Coffee and food'!PW23</f>
        <v>127.5</v>
      </c>
      <c r="PX3" s="4">
        <f>'Coffee and food'!PX23</f>
        <v>127.5</v>
      </c>
      <c r="PY3" s="4">
        <f>'Coffee and food'!PY23</f>
        <v>127.5</v>
      </c>
      <c r="PZ3" s="4">
        <f>'Coffee and food'!PZ23</f>
        <v>119</v>
      </c>
      <c r="QA3" s="4">
        <f>'Coffee and food'!QA23</f>
        <v>85</v>
      </c>
      <c r="QB3" s="4">
        <f>'Coffee and food'!QB23</f>
        <v>42.5</v>
      </c>
      <c r="QC3" s="4">
        <f>'Coffee and food'!QC23</f>
        <v>85</v>
      </c>
      <c r="QD3" s="4">
        <f>'Coffee and food'!QD23</f>
        <v>127.5</v>
      </c>
      <c r="QE3" s="4">
        <f>'Coffee and food'!QE23</f>
        <v>127.5</v>
      </c>
      <c r="QF3" s="4">
        <f>'Coffee and food'!QF23</f>
        <v>127.5</v>
      </c>
      <c r="QG3" s="4">
        <f>'Coffee and food'!QG23</f>
        <v>119</v>
      </c>
      <c r="QH3" s="4">
        <f>'Coffee and food'!QH23</f>
        <v>85</v>
      </c>
      <c r="QI3" s="4">
        <f>'Coffee and food'!QI23</f>
        <v>42.5</v>
      </c>
      <c r="QJ3" s="4">
        <f>'Coffee and food'!QJ23</f>
        <v>85</v>
      </c>
      <c r="QK3" s="4">
        <f>'Coffee and food'!QK23</f>
        <v>127.5</v>
      </c>
      <c r="QL3" s="4">
        <f>'Coffee and food'!QL23</f>
        <v>127.5</v>
      </c>
      <c r="QM3" s="4">
        <f>'Coffee and food'!QM23</f>
        <v>127.5</v>
      </c>
      <c r="QN3" s="4">
        <f>'Coffee and food'!QN23</f>
        <v>119</v>
      </c>
      <c r="QO3" s="4">
        <f>'Coffee and food'!QO23</f>
        <v>85</v>
      </c>
      <c r="QP3" s="4">
        <f>'Coffee and food'!QP23</f>
        <v>42.5</v>
      </c>
      <c r="QQ3" s="4">
        <f>'Coffee and food'!QQ23</f>
        <v>85</v>
      </c>
      <c r="QR3" s="4">
        <f>'Coffee and food'!QR23</f>
        <v>127.5</v>
      </c>
      <c r="QS3" s="4">
        <f>'Coffee and food'!QS23</f>
        <v>127.5</v>
      </c>
      <c r="QT3" s="4">
        <f>'Coffee and food'!QT23</f>
        <v>127.5</v>
      </c>
      <c r="QU3" s="4">
        <f>'Coffee and food'!QU23</f>
        <v>119</v>
      </c>
      <c r="QV3" s="4">
        <f>'Coffee and food'!QV23</f>
        <v>85</v>
      </c>
      <c r="QW3" s="4">
        <f>'Coffee and food'!QW23</f>
        <v>42.5</v>
      </c>
      <c r="QX3" s="4">
        <f>'Coffee and food'!QX23</f>
        <v>85</v>
      </c>
      <c r="QY3" s="4">
        <f>'Coffee and food'!QY23</f>
        <v>127.5</v>
      </c>
      <c r="QZ3" s="4">
        <f>'Coffee and food'!QZ23</f>
        <v>127.5</v>
      </c>
      <c r="RA3" s="4">
        <f>'Coffee and food'!RA23</f>
        <v>127.5</v>
      </c>
      <c r="RB3" s="4">
        <f>'Coffee and food'!RB23</f>
        <v>119</v>
      </c>
      <c r="RC3" s="4">
        <f>'Coffee and food'!RC23</f>
        <v>85</v>
      </c>
      <c r="RD3" s="4">
        <f>'Coffee and food'!RD23</f>
        <v>42.5</v>
      </c>
      <c r="RE3" s="4">
        <f>'Coffee and food'!RE23</f>
        <v>85</v>
      </c>
      <c r="RF3" s="4">
        <f>'Coffee and food'!RF23</f>
        <v>127.5</v>
      </c>
      <c r="RG3" s="4">
        <f>'Coffee and food'!RG23</f>
        <v>127.5</v>
      </c>
      <c r="RH3" s="4">
        <f>'Coffee and food'!RH23</f>
        <v>127.5</v>
      </c>
      <c r="RI3" s="4">
        <f>'Coffee and food'!RI23</f>
        <v>119</v>
      </c>
      <c r="RJ3" s="4">
        <f>'Coffee and food'!RJ23</f>
        <v>85</v>
      </c>
      <c r="RK3" s="4">
        <f>'Coffee and food'!RK23</f>
        <v>42.5</v>
      </c>
      <c r="RL3" s="4">
        <f>'Coffee and food'!RL23</f>
        <v>85</v>
      </c>
      <c r="RM3" s="4">
        <f>'Coffee and food'!RM23</f>
        <v>127.5</v>
      </c>
      <c r="RN3" s="4">
        <f>'Coffee and food'!RN23</f>
        <v>127.5</v>
      </c>
      <c r="RO3" s="4">
        <f>'Coffee and food'!RO23</f>
        <v>127.5</v>
      </c>
      <c r="RP3" s="4">
        <f>'Coffee and food'!RP23</f>
        <v>119</v>
      </c>
      <c r="RQ3" s="4">
        <f>'Coffee and food'!RQ23</f>
        <v>85</v>
      </c>
      <c r="RR3" s="4">
        <f>'Coffee and food'!RR23</f>
        <v>42.5</v>
      </c>
      <c r="RS3" s="4">
        <f>'Coffee and food'!RS23</f>
        <v>85</v>
      </c>
      <c r="RT3" s="4">
        <f>'Coffee and food'!RT23</f>
        <v>127.5</v>
      </c>
      <c r="RU3" s="4">
        <f>'Coffee and food'!RU23</f>
        <v>127.5</v>
      </c>
      <c r="RV3" s="4">
        <f>'Coffee and food'!RV23</f>
        <v>127.5</v>
      </c>
      <c r="RW3" s="4">
        <f>'Coffee and food'!RW23</f>
        <v>119</v>
      </c>
      <c r="RX3" s="4">
        <f>'Coffee and food'!RX23</f>
        <v>85</v>
      </c>
      <c r="RY3" s="4">
        <f>'Coffee and food'!RY23</f>
        <v>42.5</v>
      </c>
      <c r="RZ3" s="4">
        <f>'Coffee and food'!RZ23</f>
        <v>85</v>
      </c>
      <c r="SA3" s="4">
        <f>'Coffee and food'!SA23</f>
        <v>127.5</v>
      </c>
      <c r="SB3" s="4">
        <f>'Coffee and food'!SB23</f>
        <v>127.5</v>
      </c>
      <c r="SC3" s="4">
        <f>'Coffee and food'!SC23</f>
        <v>127.5</v>
      </c>
      <c r="SD3" s="4">
        <f>'Coffee and food'!SD23</f>
        <v>119</v>
      </c>
      <c r="SE3" s="4">
        <f>'Coffee and food'!SE23</f>
        <v>85</v>
      </c>
      <c r="SF3" s="4">
        <f>'Coffee and food'!SF23</f>
        <v>42.5</v>
      </c>
      <c r="SG3" s="4">
        <f>'Coffee and food'!SG23</f>
        <v>85</v>
      </c>
      <c r="SH3" s="4">
        <f>'Coffee and food'!SH23</f>
        <v>127.5</v>
      </c>
      <c r="SI3" s="4">
        <f>'Coffee and food'!SI23</f>
        <v>127.5</v>
      </c>
      <c r="SJ3" s="4">
        <f>'Coffee and food'!SJ23</f>
        <v>127.5</v>
      </c>
      <c r="SK3" s="4">
        <f>'Coffee and food'!SK23</f>
        <v>119</v>
      </c>
      <c r="SL3" s="4">
        <f>'Coffee and food'!SL23</f>
        <v>85</v>
      </c>
      <c r="SM3" s="4">
        <f>'Coffee and food'!SM23</f>
        <v>42.5</v>
      </c>
      <c r="SN3" s="4">
        <f>'Coffee and food'!SN23</f>
        <v>85</v>
      </c>
      <c r="SO3" s="4">
        <f>'Coffee and food'!SO23</f>
        <v>127.5</v>
      </c>
      <c r="SP3" s="4">
        <f>'Coffee and food'!SP23</f>
        <v>127.5</v>
      </c>
      <c r="SQ3" s="4">
        <f>'Coffee and food'!SQ23</f>
        <v>127.5</v>
      </c>
      <c r="SR3" s="4">
        <f>'Coffee and food'!SR23</f>
        <v>119</v>
      </c>
      <c r="SS3" s="4">
        <f>'Coffee and food'!SS23</f>
        <v>85</v>
      </c>
      <c r="ST3" s="4">
        <f>'Coffee and food'!ST23</f>
        <v>42.5</v>
      </c>
      <c r="SU3" s="4">
        <f>'Coffee and food'!SU23</f>
        <v>85</v>
      </c>
      <c r="SV3" s="4">
        <f>'Coffee and food'!SV23</f>
        <v>127.5</v>
      </c>
      <c r="SW3" s="4">
        <f>'Coffee and food'!SW23</f>
        <v>127.5</v>
      </c>
      <c r="SX3" s="4">
        <f>'Coffee and food'!SX23</f>
        <v>127.5</v>
      </c>
      <c r="SY3" s="4">
        <f>'Coffee and food'!SY23</f>
        <v>119</v>
      </c>
      <c r="SZ3" s="4">
        <f>'Coffee and food'!SZ23</f>
        <v>85</v>
      </c>
      <c r="TA3" s="4">
        <f>'Coffee and food'!TA23</f>
        <v>42.5</v>
      </c>
      <c r="TB3" s="4">
        <f>'Coffee and food'!TB23</f>
        <v>85</v>
      </c>
      <c r="TC3" s="4">
        <f>'Coffee and food'!TC23</f>
        <v>127.5</v>
      </c>
      <c r="TD3" s="4">
        <f>'Coffee and food'!TD23</f>
        <v>127.5</v>
      </c>
      <c r="TE3" s="4">
        <f>'Coffee and food'!TE23</f>
        <v>127.5</v>
      </c>
      <c r="TF3" s="4">
        <f>'Coffee and food'!TF23</f>
        <v>119</v>
      </c>
      <c r="TG3" s="4">
        <f>'Coffee and food'!TG23</f>
        <v>85</v>
      </c>
      <c r="TH3" s="4">
        <f>'Coffee and food'!TH23</f>
        <v>42.5</v>
      </c>
      <c r="TI3" s="4">
        <f>'Coffee and food'!TI23</f>
        <v>85</v>
      </c>
      <c r="TJ3" s="4">
        <f>'Coffee and food'!TJ23</f>
        <v>127.5</v>
      </c>
      <c r="TK3" s="4">
        <f>'Coffee and food'!TK23</f>
        <v>127.5</v>
      </c>
      <c r="TL3" s="4">
        <f>'Coffee and food'!TL23</f>
        <v>127.5</v>
      </c>
      <c r="TM3" s="4">
        <f>'Coffee and food'!TM23</f>
        <v>119</v>
      </c>
      <c r="TN3" s="4">
        <f>'Coffee and food'!TN23</f>
        <v>85</v>
      </c>
      <c r="TO3" s="4">
        <f>'Coffee and food'!TO23</f>
        <v>42.5</v>
      </c>
      <c r="TP3" s="4">
        <f>'Coffee and food'!TP23</f>
        <v>85</v>
      </c>
      <c r="TQ3" s="4">
        <f>'Coffee and food'!TQ23</f>
        <v>127.5</v>
      </c>
      <c r="TR3" s="4">
        <f>'Coffee and food'!TR23</f>
        <v>127.5</v>
      </c>
      <c r="TS3" s="4">
        <f>'Coffee and food'!TS23</f>
        <v>127.5</v>
      </c>
      <c r="TT3" s="4">
        <f>'Coffee and food'!TT23</f>
        <v>119</v>
      </c>
      <c r="TU3" s="4">
        <f>'Coffee and food'!TU23</f>
        <v>85</v>
      </c>
      <c r="TV3" s="4">
        <f>'Coffee and food'!TV23</f>
        <v>42.5</v>
      </c>
      <c r="TW3" s="4">
        <f>'Coffee and food'!TW23</f>
        <v>85</v>
      </c>
      <c r="TX3" s="4">
        <f>'Coffee and food'!TX23</f>
        <v>127.5</v>
      </c>
      <c r="TY3" s="4">
        <f>'Coffee and food'!TY23</f>
        <v>127.5</v>
      </c>
      <c r="TZ3" s="4">
        <f>'Coffee and food'!TZ23</f>
        <v>127.5</v>
      </c>
      <c r="UA3" s="4">
        <f>'Coffee and food'!UA23</f>
        <v>119</v>
      </c>
      <c r="UB3" s="4">
        <f>'Coffee and food'!UB23</f>
        <v>85</v>
      </c>
      <c r="UC3" s="4">
        <f>'Coffee and food'!UC23</f>
        <v>42.5</v>
      </c>
      <c r="UD3" s="4">
        <f>'Coffee and food'!UD23</f>
        <v>85</v>
      </c>
      <c r="UE3" s="4">
        <f>'Coffee and food'!UE23</f>
        <v>127.5</v>
      </c>
      <c r="UF3" s="4">
        <f>'Coffee and food'!UF23</f>
        <v>127.5</v>
      </c>
      <c r="UG3" s="4">
        <f>'Coffee and food'!UG23</f>
        <v>127.5</v>
      </c>
      <c r="UH3" s="4">
        <f>'Coffee and food'!UH23</f>
        <v>119</v>
      </c>
      <c r="UI3" s="4">
        <f>'Coffee and food'!UI23</f>
        <v>85</v>
      </c>
      <c r="UJ3" s="4">
        <f>'Coffee and food'!UJ23</f>
        <v>42.5</v>
      </c>
      <c r="UK3" s="4">
        <f>'Coffee and food'!UK23</f>
        <v>85</v>
      </c>
      <c r="UL3" s="4">
        <f>'Coffee and food'!UL23</f>
        <v>127.5</v>
      </c>
      <c r="UM3" s="4">
        <f>'Coffee and food'!UM23</f>
        <v>127.5</v>
      </c>
      <c r="UN3" s="4">
        <f>'Coffee and food'!UN23</f>
        <v>127.5</v>
      </c>
      <c r="UO3" s="4">
        <f>'Coffee and food'!UO23</f>
        <v>119</v>
      </c>
      <c r="UP3" s="4">
        <f>'Coffee and food'!UP23</f>
        <v>85</v>
      </c>
      <c r="UQ3" s="4">
        <f>'Coffee and food'!UQ23</f>
        <v>42.5</v>
      </c>
      <c r="UR3" s="4">
        <f>'Coffee and food'!UR23</f>
        <v>85</v>
      </c>
      <c r="US3" s="4">
        <f>'Coffee and food'!US23</f>
        <v>127.5</v>
      </c>
      <c r="UT3" s="4">
        <f>'Coffee and food'!UT23</f>
        <v>127.5</v>
      </c>
      <c r="UU3" s="4">
        <f>'Coffee and food'!UU23</f>
        <v>127.5</v>
      </c>
      <c r="UV3" s="4">
        <f>'Coffee and food'!UV23</f>
        <v>119</v>
      </c>
      <c r="UW3" s="4">
        <f>'Coffee and food'!UW23</f>
        <v>85</v>
      </c>
      <c r="UX3" s="4">
        <f>'Coffee and food'!UX23</f>
        <v>42.5</v>
      </c>
      <c r="UY3" s="4">
        <f>'Coffee and food'!UY23</f>
        <v>85</v>
      </c>
      <c r="UZ3" s="4">
        <f>'Coffee and food'!UZ23</f>
        <v>127.5</v>
      </c>
      <c r="VA3" s="4">
        <f>'Coffee and food'!VA23</f>
        <v>127.5</v>
      </c>
      <c r="VB3" s="4">
        <f>'Coffee and food'!VB23</f>
        <v>127.5</v>
      </c>
      <c r="VC3" s="4">
        <f>'Coffee and food'!VC23</f>
        <v>119</v>
      </c>
      <c r="VD3" s="4">
        <f>'Coffee and food'!VD23</f>
        <v>85</v>
      </c>
      <c r="VE3" s="4">
        <f>'Coffee and food'!VE23</f>
        <v>42.5</v>
      </c>
      <c r="VF3" s="4">
        <f>'Coffee and food'!VF23</f>
        <v>85</v>
      </c>
      <c r="VG3" s="4">
        <f>'Coffee and food'!VG23</f>
        <v>127.5</v>
      </c>
      <c r="VH3" s="4">
        <f>'Coffee and food'!VH23</f>
        <v>127.5</v>
      </c>
      <c r="VI3" s="4">
        <f>'Coffee and food'!VI23</f>
        <v>127.5</v>
      </c>
      <c r="VJ3" s="4">
        <f>'Coffee and food'!VJ23</f>
        <v>119</v>
      </c>
      <c r="VK3" s="4">
        <f>'Coffee and food'!VK23</f>
        <v>85</v>
      </c>
      <c r="VL3" s="4">
        <f>'Coffee and food'!VL23</f>
        <v>42.5</v>
      </c>
      <c r="VM3" s="4">
        <f>'Coffee and food'!VM23</f>
        <v>85</v>
      </c>
      <c r="VN3" s="4">
        <f>'Coffee and food'!VN23</f>
        <v>127.5</v>
      </c>
      <c r="VO3" s="4">
        <f>'Coffee and food'!VO23</f>
        <v>127.5</v>
      </c>
      <c r="VP3" s="4">
        <f>'Coffee and food'!VP23</f>
        <v>127.5</v>
      </c>
      <c r="VQ3" s="4">
        <f>'Coffee and food'!VQ23</f>
        <v>119</v>
      </c>
      <c r="VR3" s="4">
        <f>'Coffee and food'!VR23</f>
        <v>85</v>
      </c>
      <c r="VS3" s="4">
        <f>'Coffee and food'!VS23</f>
        <v>42.5</v>
      </c>
      <c r="VT3" s="4">
        <f>'Coffee and food'!VT23</f>
        <v>85</v>
      </c>
      <c r="VU3" s="4">
        <f>'Coffee and food'!VU23</f>
        <v>127.5</v>
      </c>
      <c r="VV3" s="4">
        <f>'Coffee and food'!VV23</f>
        <v>127.5</v>
      </c>
      <c r="VW3" s="4">
        <f>'Coffee and food'!VW23</f>
        <v>127.5</v>
      </c>
      <c r="VX3" s="4">
        <f>'Coffee and food'!VX23</f>
        <v>119</v>
      </c>
      <c r="VY3" s="4">
        <f>'Coffee and food'!VY23</f>
        <v>85</v>
      </c>
      <c r="VZ3" s="4">
        <f>'Coffee and food'!VZ23</f>
        <v>42.5</v>
      </c>
      <c r="WA3" s="4">
        <f>'Coffee and food'!WA23</f>
        <v>85</v>
      </c>
      <c r="WB3" s="4">
        <f>'Coffee and food'!WB23</f>
        <v>127.5</v>
      </c>
      <c r="WC3" s="4">
        <f>'Coffee and food'!WC23</f>
        <v>127.5</v>
      </c>
      <c r="WD3" s="4">
        <f>'Coffee and food'!WD23</f>
        <v>127.5</v>
      </c>
      <c r="WE3" s="4">
        <f>'Coffee and food'!WE23</f>
        <v>119</v>
      </c>
      <c r="WF3" s="4">
        <f>'Coffee and food'!WF23</f>
        <v>85</v>
      </c>
      <c r="WG3" s="4">
        <f>'Coffee and food'!WG23</f>
        <v>42.5</v>
      </c>
      <c r="WH3" s="4">
        <f>'Coffee and food'!WH23</f>
        <v>85</v>
      </c>
      <c r="WI3" s="4">
        <f>'Coffee and food'!WI23</f>
        <v>127.5</v>
      </c>
      <c r="WJ3" s="4">
        <f>'Coffee and food'!WJ23</f>
        <v>127.5</v>
      </c>
      <c r="WK3" s="4">
        <f>'Coffee and food'!WK23</f>
        <v>127.5</v>
      </c>
      <c r="WL3" s="4">
        <f>'Coffee and food'!WL23</f>
        <v>119</v>
      </c>
      <c r="WM3" s="4">
        <f>'Coffee and food'!WM23</f>
        <v>85</v>
      </c>
      <c r="WN3" s="4">
        <f>'Coffee and food'!WN23</f>
        <v>42.5</v>
      </c>
      <c r="WO3" s="4">
        <f>'Coffee and food'!WO23</f>
        <v>85</v>
      </c>
      <c r="WP3" s="4">
        <f>'Coffee and food'!WP23</f>
        <v>127.5</v>
      </c>
      <c r="WQ3" s="4">
        <f>'Coffee and food'!WQ23</f>
        <v>127.5</v>
      </c>
      <c r="WR3" s="4">
        <f>'Coffee and food'!WR23</f>
        <v>127.5</v>
      </c>
      <c r="WS3" s="4">
        <f>'Coffee and food'!WS23</f>
        <v>119</v>
      </c>
      <c r="WT3" s="4">
        <f>'Coffee and food'!WT23</f>
        <v>85</v>
      </c>
      <c r="WU3" s="4">
        <f>'Coffee and food'!WU23</f>
        <v>42.5</v>
      </c>
      <c r="WV3" s="4">
        <f>'Coffee and food'!WV23</f>
        <v>85</v>
      </c>
      <c r="WW3" s="4">
        <f>'Coffee and food'!WW23</f>
        <v>127.5</v>
      </c>
      <c r="WX3" s="4">
        <f>'Coffee and food'!WX23</f>
        <v>127.5</v>
      </c>
      <c r="WY3" s="4">
        <f>'Coffee and food'!WY23</f>
        <v>127.5</v>
      </c>
      <c r="WZ3" s="4">
        <f>'Coffee and food'!WZ23</f>
        <v>119</v>
      </c>
      <c r="XA3" s="4">
        <f>'Coffee and food'!XA23</f>
        <v>85</v>
      </c>
      <c r="XB3" s="4">
        <f>'Coffee and food'!XB23</f>
        <v>42.5</v>
      </c>
      <c r="XC3" s="4">
        <f>'Coffee and food'!XC23</f>
        <v>85</v>
      </c>
      <c r="XD3" s="4">
        <f>'Coffee and food'!XD23</f>
        <v>127.5</v>
      </c>
      <c r="XE3" s="4">
        <f>'Coffee and food'!XE23</f>
        <v>127.5</v>
      </c>
      <c r="XF3" s="4">
        <f>'Coffee and food'!XF23</f>
        <v>127.5</v>
      </c>
      <c r="XG3" s="4">
        <f>'Coffee and food'!XG23</f>
        <v>119</v>
      </c>
      <c r="XH3" s="4">
        <f>'Coffee and food'!XH23</f>
        <v>85</v>
      </c>
      <c r="XI3" s="4">
        <f>'Coffee and food'!XI23</f>
        <v>42.5</v>
      </c>
      <c r="XJ3" s="4">
        <f>'Coffee and food'!XJ23</f>
        <v>85</v>
      </c>
      <c r="XK3" s="4">
        <f>'Coffee and food'!XK23</f>
        <v>127.5</v>
      </c>
      <c r="XL3" s="4">
        <f>'Coffee and food'!XL23</f>
        <v>127.5</v>
      </c>
      <c r="XM3" s="4">
        <f>'Coffee and food'!XM23</f>
        <v>127.5</v>
      </c>
      <c r="XN3" s="4">
        <f>'Coffee and food'!XN23</f>
        <v>119</v>
      </c>
      <c r="XO3" s="4">
        <f>'Coffee and food'!XO23</f>
        <v>85</v>
      </c>
      <c r="XP3" s="4">
        <f>'Coffee and food'!XP23</f>
        <v>42.5</v>
      </c>
      <c r="XQ3" s="4">
        <f>'Coffee and food'!XQ23</f>
        <v>85</v>
      </c>
    </row>
    <row r="25" spans="1:36" x14ac:dyDescent="0.3">
      <c r="A25" s="1" t="s">
        <v>113</v>
      </c>
    </row>
    <row r="26" spans="1:36" x14ac:dyDescent="0.3">
      <c r="B26" t="s">
        <v>111</v>
      </c>
      <c r="C26" s="3">
        <f>Projections!D2</f>
        <v>44986</v>
      </c>
      <c r="D26" s="3">
        <f>Projections!E2</f>
        <v>45017</v>
      </c>
      <c r="E26" s="3">
        <f>Projections!F2</f>
        <v>45047</v>
      </c>
      <c r="F26" s="3">
        <f>Projections!G2</f>
        <v>45078</v>
      </c>
      <c r="G26" s="3">
        <f>Projections!H2</f>
        <v>45108</v>
      </c>
      <c r="H26" s="3">
        <f>Projections!I2</f>
        <v>45139</v>
      </c>
      <c r="I26" s="3">
        <f>Projections!J2</f>
        <v>45170</v>
      </c>
      <c r="J26" s="3">
        <f>Projections!K2</f>
        <v>45200</v>
      </c>
      <c r="K26" s="3">
        <f>Projections!L2</f>
        <v>45231</v>
      </c>
      <c r="L26" s="3">
        <f>Projections!M2</f>
        <v>45261</v>
      </c>
      <c r="M26" s="3">
        <f>Projections!N2</f>
        <v>45292</v>
      </c>
      <c r="N26" s="3">
        <f>Projections!O2</f>
        <v>45323</v>
      </c>
      <c r="O26" s="3">
        <f>Projections!P2</f>
        <v>45352</v>
      </c>
      <c r="P26" s="3">
        <f>Projections!Q2</f>
        <v>45383</v>
      </c>
      <c r="Q26" s="3">
        <f>Projections!R2</f>
        <v>45413</v>
      </c>
      <c r="R26" s="3">
        <f>Projections!S2</f>
        <v>45444</v>
      </c>
      <c r="S26" s="3">
        <f>Projections!T2</f>
        <v>45474</v>
      </c>
      <c r="T26" s="3">
        <f>Projections!U2</f>
        <v>45505</v>
      </c>
      <c r="U26" s="3">
        <f>Projections!V2</f>
        <v>45536</v>
      </c>
      <c r="V26" s="3">
        <f>Projections!W2</f>
        <v>45566</v>
      </c>
      <c r="W26" s="3">
        <f>Projections!X2</f>
        <v>45597</v>
      </c>
      <c r="X26" s="3">
        <f>Projections!Y2</f>
        <v>45627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3">
      <c r="B27" t="s">
        <v>114</v>
      </c>
      <c r="C27">
        <v>0</v>
      </c>
      <c r="D27" s="4">
        <f>Projections!E11</f>
        <v>53743.35633333333</v>
      </c>
      <c r="E27" s="4">
        <f>Projections!F11</f>
        <v>59316.547166666664</v>
      </c>
      <c r="F27" s="4">
        <f>Projections!G11</f>
        <v>59119.803833333332</v>
      </c>
      <c r="G27" s="4">
        <f>Projections!H11</f>
        <v>58773.357083333336</v>
      </c>
      <c r="H27" s="4">
        <f>Projections!I11</f>
        <v>60813.581333333328</v>
      </c>
      <c r="I27" s="4">
        <f>Projections!J11</f>
        <v>58773.357083333329</v>
      </c>
      <c r="J27" s="4">
        <f>Projections!K11</f>
        <v>58371.286749999992</v>
      </c>
      <c r="K27" s="4">
        <f>Projections!L11</f>
        <v>59119.803833333332</v>
      </c>
      <c r="L27" s="4">
        <f>Projections!M11</f>
        <v>60270.391249999993</v>
      </c>
      <c r="M27" s="4">
        <f>Projections!N11</f>
        <v>59316.547166666664</v>
      </c>
      <c r="N27" s="4">
        <f>Projections!O11</f>
        <v>56677.509249999996</v>
      </c>
      <c r="O27" s="4">
        <f>Projections!P11</f>
        <v>60270.391249999993</v>
      </c>
      <c r="P27" s="4">
        <f>Projections!Q11</f>
        <v>56874.252583333327</v>
      </c>
      <c r="Q27" s="4">
        <f>Projections!R11</f>
        <v>61562.098416666668</v>
      </c>
      <c r="R27" s="4">
        <f>Projections!S11</f>
        <v>57828.096666666672</v>
      </c>
      <c r="S27" s="4">
        <f>Projections!T11</f>
        <v>59316.547166666664</v>
      </c>
      <c r="T27" s="4">
        <f>Projections!U11</f>
        <v>61215.651666666665</v>
      </c>
      <c r="U27" s="4">
        <f>Projections!V11</f>
        <v>56677.509249999996</v>
      </c>
      <c r="V27" s="4">
        <f>Projections!W11</f>
        <v>60813.581333333328</v>
      </c>
      <c r="W27" s="4">
        <f>Projections!X11</f>
        <v>58773.357083333329</v>
      </c>
      <c r="X27" s="4">
        <f>Projections!Y11</f>
        <v>58371.286749999992</v>
      </c>
      <c r="Y27" s="4">
        <f>Projections!Z11</f>
        <v>0</v>
      </c>
    </row>
    <row r="28" spans="1:36" x14ac:dyDescent="0.3">
      <c r="B28" t="s">
        <v>81</v>
      </c>
      <c r="C28">
        <v>0</v>
      </c>
      <c r="D28" s="4">
        <f>Projections!E16</f>
        <v>1800</v>
      </c>
      <c r="E28" s="4">
        <f>Projections!F16</f>
        <v>2700</v>
      </c>
      <c r="F28" s="4">
        <f>Projections!G16</f>
        <v>4725</v>
      </c>
      <c r="G28" s="4">
        <f>Projections!H16</f>
        <v>4725</v>
      </c>
      <c r="H28" s="4">
        <f>Projections!I16</f>
        <v>4725</v>
      </c>
      <c r="I28" s="4">
        <f>Projections!J16</f>
        <v>4725</v>
      </c>
      <c r="J28" s="4">
        <f>Projections!K16</f>
        <v>4725</v>
      </c>
      <c r="K28" s="4">
        <f>Projections!L16</f>
        <v>4725</v>
      </c>
      <c r="L28" s="4">
        <f>Projections!M16</f>
        <v>4725</v>
      </c>
      <c r="M28" s="4">
        <f>Projections!N16</f>
        <v>4725</v>
      </c>
      <c r="N28" s="4">
        <f>Projections!O16</f>
        <v>4725</v>
      </c>
      <c r="O28" s="4">
        <f>Projections!P16</f>
        <v>4725</v>
      </c>
      <c r="P28" s="4">
        <f>Projections!Q16</f>
        <v>4725</v>
      </c>
      <c r="Q28" s="4">
        <f>Projections!R16</f>
        <v>4725</v>
      </c>
      <c r="R28" s="4">
        <f>Projections!S16</f>
        <v>4725</v>
      </c>
      <c r="S28" s="4">
        <f>Projections!T16</f>
        <v>4725</v>
      </c>
      <c r="T28" s="4">
        <f>Projections!U16</f>
        <v>4725</v>
      </c>
      <c r="U28" s="4">
        <f>Projections!V16</f>
        <v>4725</v>
      </c>
      <c r="V28" s="4">
        <f>Projections!W16</f>
        <v>4725</v>
      </c>
      <c r="W28" s="4">
        <f>Projections!X16</f>
        <v>4725</v>
      </c>
      <c r="X28" s="4">
        <f>Projections!Y16</f>
        <v>4725</v>
      </c>
      <c r="Y28" s="4">
        <f>Projections!Z16</f>
        <v>0</v>
      </c>
    </row>
    <row r="50" spans="1:35" x14ac:dyDescent="0.3">
      <c r="A50" s="1" t="s">
        <v>116</v>
      </c>
    </row>
    <row r="51" spans="1:35" x14ac:dyDescent="0.3">
      <c r="B51" t="s">
        <v>111</v>
      </c>
      <c r="C51" s="3">
        <f>Projections!D2</f>
        <v>44986</v>
      </c>
      <c r="D51" s="3">
        <f>Projections!E2</f>
        <v>45017</v>
      </c>
      <c r="E51" s="3">
        <f>Projections!F2</f>
        <v>45047</v>
      </c>
      <c r="F51" s="3">
        <f>Projections!G2</f>
        <v>45078</v>
      </c>
      <c r="G51" s="3">
        <f>Projections!H2</f>
        <v>45108</v>
      </c>
      <c r="H51" s="3">
        <f>Projections!I2</f>
        <v>45139</v>
      </c>
      <c r="I51" s="3">
        <f>Projections!J2</f>
        <v>45170</v>
      </c>
      <c r="J51" s="3">
        <f>Projections!K2</f>
        <v>45200</v>
      </c>
      <c r="K51" s="3">
        <f>Projections!L2</f>
        <v>45231</v>
      </c>
      <c r="L51" s="3">
        <f>Projections!M2</f>
        <v>45261</v>
      </c>
      <c r="M51" s="3">
        <f>Projections!N2</f>
        <v>45292</v>
      </c>
      <c r="N51" s="3">
        <f>Projections!O2</f>
        <v>45323</v>
      </c>
      <c r="O51" s="3">
        <f>Projections!P2</f>
        <v>45352</v>
      </c>
      <c r="P51" s="3">
        <f>Projections!Q2</f>
        <v>45383</v>
      </c>
      <c r="Q51" s="3">
        <f>Projections!R2</f>
        <v>45413</v>
      </c>
      <c r="R51" s="3">
        <f>Projections!S2</f>
        <v>45444</v>
      </c>
      <c r="S51" s="3">
        <f>Projections!T2</f>
        <v>45474</v>
      </c>
      <c r="T51" s="3">
        <f>Projections!U2</f>
        <v>45505</v>
      </c>
      <c r="U51" s="3">
        <f>Projections!V2</f>
        <v>45536</v>
      </c>
      <c r="V51" s="3">
        <f>Projections!W2</f>
        <v>45566</v>
      </c>
      <c r="W51" s="3">
        <f>Projections!X2</f>
        <v>45597</v>
      </c>
      <c r="X51" s="3">
        <f>Projections!Y2</f>
        <v>45627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x14ac:dyDescent="0.3">
      <c r="B52" t="s">
        <v>115</v>
      </c>
      <c r="C52" s="4">
        <f>Projections!D21</f>
        <v>-151224.88</v>
      </c>
      <c r="D52" s="4">
        <f>Projections!E21</f>
        <v>15359.047969724996</v>
      </c>
      <c r="E52" s="4">
        <f>Projections!F21</f>
        <v>21612.635804037498</v>
      </c>
      <c r="F52" s="4">
        <f>Projections!G21</f>
        <v>23378.868863287498</v>
      </c>
      <c r="G52" s="4">
        <f>Projections!H21</f>
        <v>23044.175319281254</v>
      </c>
      <c r="H52" s="4">
        <f>Projections!I21</f>
        <v>25015.184961600004</v>
      </c>
      <c r="I52" s="4">
        <f>Projections!J21</f>
        <v>23044.175319281247</v>
      </c>
      <c r="J52" s="4">
        <f>Projections!K21</f>
        <v>22655.745222006241</v>
      </c>
      <c r="K52" s="4">
        <f>Projections!L21</f>
        <v>23378.868863287498</v>
      </c>
      <c r="L52" s="4">
        <f>Projections!M21</f>
        <v>24490.422601843744</v>
      </c>
      <c r="M52" s="4">
        <f>Projections!N21</f>
        <v>23568.937679037495</v>
      </c>
      <c r="N52" s="4">
        <f>Projections!O21</f>
        <v>21019.429123693746</v>
      </c>
      <c r="O52" s="4">
        <f>Projections!P21</f>
        <v>24490.422601843744</v>
      </c>
      <c r="P52" s="4">
        <f>Projections!Q21</f>
        <v>21209.497939443743</v>
      </c>
      <c r="Q52" s="4">
        <f>Projections!R21</f>
        <v>25738.308602881258</v>
      </c>
      <c r="R52" s="4">
        <f>Projections!S21</f>
        <v>22130.982862250006</v>
      </c>
      <c r="S52" s="4">
        <f>Projections!T21</f>
        <v>23568.937679037495</v>
      </c>
      <c r="T52" s="4">
        <f>Projections!U21</f>
        <v>25403.615058875006</v>
      </c>
      <c r="U52" s="4">
        <f>Projections!V21</f>
        <v>21019.429123693746</v>
      </c>
      <c r="V52" s="4">
        <f>Projections!W21</f>
        <v>25015.184961600004</v>
      </c>
      <c r="W52" s="4">
        <f>Projections!X21</f>
        <v>23044.175319281247</v>
      </c>
      <c r="X52" s="4">
        <f>Projections!Y21</f>
        <v>22655.745222006241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</sheetData>
  <pageMargins left="0.7" right="0.7" top="0.75" bottom="0.75" header="0.3" footer="0.3"/>
  <pageSetup orientation="portrait" horizontalDpi="204" verticalDpi="196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7E30-C443-46B3-A333-88D75947EEFC}">
  <dimension ref="A1:H23"/>
  <sheetViews>
    <sheetView tabSelected="1" workbookViewId="0">
      <selection activeCell="J13" sqref="J13"/>
    </sheetView>
  </sheetViews>
  <sheetFormatPr defaultRowHeight="14.4" x14ac:dyDescent="0.3"/>
  <cols>
    <col min="1" max="1" width="26.21875" bestFit="1" customWidth="1"/>
    <col min="2" max="2" width="10.77734375" bestFit="1" customWidth="1"/>
    <col min="5" max="5" width="10.21875" bestFit="1" customWidth="1"/>
    <col min="6" max="6" width="14.88671875" style="2" customWidth="1"/>
    <col min="7" max="7" width="2.21875" style="2" customWidth="1"/>
    <col min="8" max="8" width="14.109375" style="2" customWidth="1"/>
  </cols>
  <sheetData>
    <row r="1" spans="1:8" x14ac:dyDescent="0.3">
      <c r="E1" s="34">
        <v>0.45</v>
      </c>
    </row>
    <row r="2" spans="1:8" s="1" customFormat="1" x14ac:dyDescent="0.3">
      <c r="A2" s="1" t="s">
        <v>135</v>
      </c>
      <c r="B2" s="1" t="s">
        <v>145</v>
      </c>
      <c r="C2" s="1" t="s">
        <v>146</v>
      </c>
      <c r="D2" s="1" t="s">
        <v>54</v>
      </c>
      <c r="E2" s="1" t="s">
        <v>147</v>
      </c>
      <c r="F2" s="32" t="s">
        <v>148</v>
      </c>
      <c r="G2" s="32"/>
      <c r="H2" s="32" t="s">
        <v>149</v>
      </c>
    </row>
    <row r="3" spans="1:8" x14ac:dyDescent="0.3">
      <c r="A3" t="s">
        <v>136</v>
      </c>
      <c r="B3">
        <v>14.85</v>
      </c>
      <c r="C3">
        <f>B3*0.15</f>
        <v>2.2275</v>
      </c>
      <c r="D3">
        <f>SUM(B3:C3)</f>
        <v>17.077500000000001</v>
      </c>
      <c r="E3" s="34">
        <f>$E$1</f>
        <v>0.45</v>
      </c>
      <c r="F3" s="2">
        <f>D3*(1+E3)</f>
        <v>24.762374999999999</v>
      </c>
      <c r="H3" s="2">
        <v>23</v>
      </c>
    </row>
    <row r="4" spans="1:8" x14ac:dyDescent="0.3">
      <c r="A4" t="s">
        <v>137</v>
      </c>
      <c r="B4">
        <v>21.5</v>
      </c>
      <c r="C4">
        <f t="shared" ref="C4:C11" si="0">B4*0.15</f>
        <v>3.2250000000000001</v>
      </c>
      <c r="D4">
        <f t="shared" ref="D4:D11" si="1">SUM(B4:C4)</f>
        <v>24.725000000000001</v>
      </c>
      <c r="E4" s="34">
        <f t="shared" ref="E4:E11" si="2">$E$1</f>
        <v>0.45</v>
      </c>
      <c r="F4" s="2">
        <f t="shared" ref="F4:F11" si="3">D4*(1+E4)</f>
        <v>35.85125</v>
      </c>
      <c r="H4" s="2">
        <v>40</v>
      </c>
    </row>
    <row r="5" spans="1:8" x14ac:dyDescent="0.3">
      <c r="A5" t="s">
        <v>138</v>
      </c>
      <c r="B5">
        <v>24.4</v>
      </c>
      <c r="C5">
        <f t="shared" si="0"/>
        <v>3.6599999999999997</v>
      </c>
      <c r="D5">
        <f t="shared" si="1"/>
        <v>28.06</v>
      </c>
      <c r="E5" s="34">
        <f t="shared" si="2"/>
        <v>0.45</v>
      </c>
      <c r="F5" s="2">
        <f t="shared" si="3"/>
        <v>40.686999999999998</v>
      </c>
      <c r="H5" s="2">
        <v>40</v>
      </c>
    </row>
    <row r="6" spans="1:8" x14ac:dyDescent="0.3">
      <c r="A6" t="s">
        <v>139</v>
      </c>
      <c r="B6">
        <v>12</v>
      </c>
      <c r="C6">
        <f t="shared" si="0"/>
        <v>1.7999999999999998</v>
      </c>
      <c r="D6">
        <f t="shared" si="1"/>
        <v>13.8</v>
      </c>
      <c r="E6" s="34">
        <f t="shared" si="2"/>
        <v>0.45</v>
      </c>
      <c r="F6" s="2">
        <f t="shared" si="3"/>
        <v>20.010000000000002</v>
      </c>
      <c r="H6" s="2">
        <v>20</v>
      </c>
    </row>
    <row r="7" spans="1:8" x14ac:dyDescent="0.3">
      <c r="A7" t="s">
        <v>140</v>
      </c>
      <c r="B7">
        <v>20.6</v>
      </c>
      <c r="C7">
        <f t="shared" si="0"/>
        <v>3.0900000000000003</v>
      </c>
      <c r="D7">
        <f t="shared" si="1"/>
        <v>23.69</v>
      </c>
      <c r="E7" s="34">
        <f t="shared" si="2"/>
        <v>0.45</v>
      </c>
      <c r="F7" s="2">
        <f t="shared" si="3"/>
        <v>34.350500000000004</v>
      </c>
      <c r="H7" s="2">
        <v>35</v>
      </c>
    </row>
    <row r="8" spans="1:8" x14ac:dyDescent="0.3">
      <c r="A8" t="s">
        <v>141</v>
      </c>
      <c r="B8">
        <v>20</v>
      </c>
      <c r="C8">
        <f t="shared" si="0"/>
        <v>3</v>
      </c>
      <c r="D8">
        <f t="shared" si="1"/>
        <v>23</v>
      </c>
      <c r="E8" s="34">
        <f t="shared" si="2"/>
        <v>0.45</v>
      </c>
      <c r="F8" s="2">
        <f t="shared" si="3"/>
        <v>33.35</v>
      </c>
      <c r="H8" s="2">
        <v>30</v>
      </c>
    </row>
    <row r="9" spans="1:8" x14ac:dyDescent="0.3">
      <c r="A9" t="s">
        <v>142</v>
      </c>
      <c r="B9">
        <v>15</v>
      </c>
      <c r="C9">
        <f t="shared" si="0"/>
        <v>2.25</v>
      </c>
      <c r="D9">
        <f t="shared" si="1"/>
        <v>17.25</v>
      </c>
      <c r="E9" s="34">
        <f t="shared" si="2"/>
        <v>0.45</v>
      </c>
      <c r="F9" s="2">
        <f t="shared" si="3"/>
        <v>25.012499999999999</v>
      </c>
      <c r="H9" s="2">
        <v>25</v>
      </c>
    </row>
    <row r="10" spans="1:8" x14ac:dyDescent="0.3">
      <c r="A10" t="s">
        <v>143</v>
      </c>
      <c r="B10">
        <v>7.5</v>
      </c>
      <c r="C10">
        <f t="shared" si="0"/>
        <v>1.125</v>
      </c>
      <c r="D10">
        <f t="shared" si="1"/>
        <v>8.625</v>
      </c>
      <c r="E10" s="34">
        <f t="shared" si="2"/>
        <v>0.45</v>
      </c>
      <c r="F10" s="2">
        <f t="shared" si="3"/>
        <v>12.50625</v>
      </c>
      <c r="H10" s="2">
        <v>15</v>
      </c>
    </row>
    <row r="11" spans="1:8" x14ac:dyDescent="0.3">
      <c r="A11" t="s">
        <v>144</v>
      </c>
      <c r="B11">
        <v>16</v>
      </c>
      <c r="C11">
        <f t="shared" si="0"/>
        <v>2.4</v>
      </c>
      <c r="D11">
        <f t="shared" si="1"/>
        <v>18.399999999999999</v>
      </c>
      <c r="E11" s="34">
        <f t="shared" si="2"/>
        <v>0.45</v>
      </c>
      <c r="F11" s="2">
        <f t="shared" si="3"/>
        <v>26.679999999999996</v>
      </c>
      <c r="H11" s="2">
        <v>25</v>
      </c>
    </row>
    <row r="12" spans="1:8" x14ac:dyDescent="0.3">
      <c r="F12" s="2">
        <f>SUM(F3:F11)</f>
        <v>253.20987499999998</v>
      </c>
      <c r="H12" s="2">
        <f>SUM(H3:H11)</f>
        <v>253</v>
      </c>
    </row>
    <row r="14" spans="1:8" x14ac:dyDescent="0.3">
      <c r="A14" s="1" t="str">
        <f>A2</f>
        <v>Food items</v>
      </c>
    </row>
    <row r="15" spans="1:8" x14ac:dyDescent="0.3">
      <c r="A15" t="str">
        <f t="shared" ref="A15:A23" si="4">A3</f>
        <v xml:space="preserve">Plain crossaint </v>
      </c>
      <c r="B15" s="4">
        <f>H3</f>
        <v>23</v>
      </c>
    </row>
    <row r="16" spans="1:8" x14ac:dyDescent="0.3">
      <c r="A16" t="str">
        <f t="shared" si="4"/>
        <v>Ham and cheese crossaint</v>
      </c>
      <c r="B16" s="4">
        <f t="shared" ref="B16:B23" si="5">H4</f>
        <v>40</v>
      </c>
    </row>
    <row r="17" spans="1:2" x14ac:dyDescent="0.3">
      <c r="A17" t="str">
        <f t="shared" si="4"/>
        <v>Cheese and Tomato crosssaint</v>
      </c>
      <c r="B17" s="4">
        <f t="shared" si="5"/>
        <v>40</v>
      </c>
    </row>
    <row r="18" spans="1:2" x14ac:dyDescent="0.3">
      <c r="A18" t="str">
        <f t="shared" si="4"/>
        <v xml:space="preserve">Mini Choclate crossaint </v>
      </c>
      <c r="B18" s="4">
        <f t="shared" si="5"/>
        <v>20</v>
      </c>
    </row>
    <row r="19" spans="1:2" x14ac:dyDescent="0.3">
      <c r="A19" t="str">
        <f t="shared" si="4"/>
        <v>Custard container</v>
      </c>
      <c r="B19" s="4">
        <f t="shared" si="5"/>
        <v>35</v>
      </c>
    </row>
    <row r="20" spans="1:2" x14ac:dyDescent="0.3">
      <c r="A20" t="str">
        <f t="shared" si="4"/>
        <v>Brownies</v>
      </c>
      <c r="B20" s="4">
        <f t="shared" si="5"/>
        <v>30</v>
      </c>
    </row>
    <row r="21" spans="1:2" x14ac:dyDescent="0.3">
      <c r="A21" t="str">
        <f t="shared" si="4"/>
        <v xml:space="preserve">Oat Crunchies </v>
      </c>
      <c r="B21" s="4">
        <f t="shared" si="5"/>
        <v>25</v>
      </c>
    </row>
    <row r="22" spans="1:2" x14ac:dyDescent="0.3">
      <c r="A22" t="str">
        <f t="shared" si="4"/>
        <v xml:space="preserve">Choclate squares </v>
      </c>
      <c r="B22" s="4">
        <f t="shared" si="5"/>
        <v>15</v>
      </c>
    </row>
    <row r="23" spans="1:2" x14ac:dyDescent="0.3">
      <c r="A23" t="str">
        <f t="shared" si="4"/>
        <v>Pasteis de Nata</v>
      </c>
      <c r="B23" s="4">
        <f t="shared" si="5"/>
        <v>25</v>
      </c>
    </row>
  </sheetData>
  <pageMargins left="0.7" right="0.7" top="0.75" bottom="0.75" header="0.3" footer="0.3"/>
  <pageSetup orientation="portrait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Coffee and food</vt:lpstr>
      <vt:lpstr>Projections</vt:lpstr>
      <vt:lpstr>Graphs</vt:lpstr>
      <vt:lpstr>Food Prices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Kobus Tubb</dc:creator>
  <cp:lastModifiedBy>Kobus Tubb</cp:lastModifiedBy>
  <cp:lastPrinted>2023-03-07T12:19:14Z</cp:lastPrinted>
  <dcterms:created xsi:type="dcterms:W3CDTF">2015-06-05T18:17:20Z</dcterms:created>
  <dcterms:modified xsi:type="dcterms:W3CDTF">2023-05-02T05:56:47Z</dcterms:modified>
</cp:coreProperties>
</file>